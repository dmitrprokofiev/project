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Dmitrii\Desktop\Работа\ОТЧЕТЫ\Уч 44-1\"/>
    </mc:Choice>
  </mc:AlternateContent>
  <xr:revisionPtr revIDLastSave="0" documentId="13_ncr:1_{4E7167D9-F8C9-4B60-8CD0-B4E6EF241A2F}" xr6:coauthVersionLast="46" xr6:coauthVersionMax="46" xr10:uidLastSave="{00000000-0000-0000-0000-000000000000}"/>
  <bookViews>
    <workbookView xWindow="345" yWindow="345" windowWidth="15375" windowHeight="7875" xr2:uid="{00000000-000D-0000-FFFF-FFFF00000000}"/>
  </bookViews>
  <sheets>
    <sheet name="Сентябрь" sheetId="52" r:id="rId1"/>
  </sheets>
  <definedNames>
    <definedName name="_FilterDatabase" localSheetId="0" hidden="1">Сентябрь!$A$1:$J$8</definedName>
  </definedNames>
  <calcPr calcId="181029"/>
</workbook>
</file>

<file path=xl/calcChain.xml><?xml version="1.0" encoding="utf-8"?>
<calcChain xmlns="http://schemas.openxmlformats.org/spreadsheetml/2006/main">
  <c r="G9" i="52" l="1"/>
  <c r="G10" i="52"/>
  <c r="G11" i="52"/>
  <c r="G12" i="52"/>
  <c r="G13" i="52"/>
  <c r="G14" i="52"/>
  <c r="G15" i="52"/>
  <c r="G16" i="52"/>
  <c r="G17" i="52"/>
  <c r="G18" i="52"/>
  <c r="G19" i="52"/>
  <c r="G20" i="52"/>
  <c r="G21" i="52"/>
  <c r="G22" i="52"/>
  <c r="G23" i="52"/>
  <c r="G24" i="52"/>
  <c r="G25" i="52"/>
  <c r="G26" i="52"/>
  <c r="G27" i="52"/>
  <c r="G28" i="52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52" i="52"/>
  <c r="G53" i="52"/>
  <c r="G54" i="52"/>
  <c r="G55" i="52"/>
  <c r="G56" i="52"/>
  <c r="G57" i="52"/>
  <c r="G58" i="52"/>
  <c r="G59" i="52"/>
  <c r="G60" i="52"/>
  <c r="G61" i="52"/>
  <c r="G62" i="52"/>
  <c r="G63" i="52"/>
  <c r="G64" i="52"/>
  <c r="G65" i="52"/>
  <c r="G66" i="52"/>
  <c r="G67" i="52"/>
  <c r="G68" i="52"/>
  <c r="G69" i="52"/>
  <c r="G70" i="52"/>
  <c r="G71" i="52"/>
  <c r="G72" i="52"/>
  <c r="G73" i="52"/>
  <c r="G74" i="52"/>
  <c r="G75" i="52"/>
  <c r="G76" i="52"/>
  <c r="G77" i="52"/>
  <c r="G78" i="52"/>
  <c r="G79" i="52"/>
  <c r="G80" i="52"/>
  <c r="G81" i="52"/>
  <c r="G82" i="52"/>
  <c r="G83" i="52"/>
  <c r="G84" i="52"/>
  <c r="G85" i="52"/>
  <c r="G86" i="52"/>
  <c r="G87" i="52"/>
  <c r="G88" i="52"/>
  <c r="G89" i="52"/>
  <c r="G90" i="52"/>
  <c r="G91" i="52"/>
  <c r="G92" i="52"/>
  <c r="G93" i="52"/>
  <c r="G94" i="52"/>
  <c r="G95" i="52"/>
  <c r="G96" i="52"/>
  <c r="G97" i="52"/>
  <c r="G98" i="52"/>
  <c r="G99" i="52"/>
  <c r="G100" i="52"/>
  <c r="G101" i="52"/>
  <c r="G102" i="52"/>
  <c r="G103" i="52"/>
  <c r="G104" i="52"/>
  <c r="G105" i="52"/>
  <c r="G106" i="52"/>
  <c r="G107" i="52"/>
  <c r="G108" i="52"/>
  <c r="G109" i="52"/>
  <c r="G110" i="52"/>
  <c r="G111" i="52"/>
  <c r="G112" i="52"/>
  <c r="G113" i="52"/>
  <c r="G114" i="52"/>
  <c r="G115" i="52"/>
  <c r="G116" i="52"/>
  <c r="G117" i="52"/>
  <c r="G118" i="52"/>
  <c r="G119" i="52"/>
  <c r="G120" i="52"/>
  <c r="G121" i="52"/>
  <c r="G122" i="52"/>
  <c r="G123" i="52"/>
  <c r="G124" i="52"/>
  <c r="G125" i="52"/>
  <c r="G126" i="52"/>
  <c r="G127" i="52"/>
  <c r="G128" i="52"/>
  <c r="G129" i="52"/>
  <c r="G130" i="52"/>
  <c r="G131" i="52"/>
  <c r="G132" i="52"/>
  <c r="G133" i="52"/>
  <c r="G134" i="52"/>
  <c r="G135" i="52"/>
  <c r="G136" i="52"/>
  <c r="G137" i="52"/>
  <c r="G138" i="52"/>
  <c r="G139" i="52"/>
  <c r="G140" i="52"/>
  <c r="G141" i="52"/>
  <c r="G142" i="52"/>
  <c r="G143" i="52"/>
  <c r="G144" i="52"/>
  <c r="G145" i="52"/>
  <c r="G146" i="52"/>
  <c r="G147" i="52"/>
  <c r="G148" i="52"/>
  <c r="G149" i="52"/>
  <c r="G150" i="52"/>
  <c r="G151" i="52"/>
  <c r="G152" i="52"/>
  <c r="G153" i="52"/>
  <c r="G154" i="52"/>
  <c r="G155" i="52"/>
  <c r="G156" i="52"/>
  <c r="G157" i="52"/>
  <c r="G158" i="52"/>
  <c r="G159" i="52"/>
  <c r="G160" i="52"/>
  <c r="G161" i="52"/>
  <c r="G162" i="52"/>
  <c r="G163" i="52"/>
  <c r="G164" i="52"/>
  <c r="G165" i="52"/>
  <c r="G166" i="52"/>
  <c r="G167" i="52"/>
  <c r="G168" i="52"/>
  <c r="G169" i="52"/>
  <c r="G170" i="52"/>
  <c r="G171" i="52"/>
  <c r="G172" i="52"/>
  <c r="G173" i="52"/>
  <c r="G174" i="52"/>
  <c r="G175" i="52"/>
  <c r="G176" i="52"/>
  <c r="G177" i="52"/>
  <c r="G178" i="52"/>
  <c r="G179" i="52"/>
  <c r="G180" i="52"/>
  <c r="G181" i="52"/>
  <c r="G182" i="52"/>
  <c r="G183" i="52"/>
  <c r="G184" i="52"/>
  <c r="G185" i="52"/>
  <c r="G186" i="52"/>
  <c r="G187" i="52"/>
  <c r="G188" i="52"/>
  <c r="G189" i="52"/>
  <c r="G190" i="52"/>
  <c r="G191" i="52"/>
  <c r="G192" i="52"/>
  <c r="G193" i="52"/>
  <c r="G194" i="52"/>
  <c r="G195" i="52"/>
  <c r="G196" i="52"/>
  <c r="H9" i="52"/>
  <c r="H10" i="52"/>
  <c r="H11" i="52"/>
  <c r="H12" i="52"/>
  <c r="H13" i="52"/>
  <c r="H14" i="52"/>
  <c r="H15" i="52"/>
  <c r="H16" i="52"/>
  <c r="H17" i="52"/>
  <c r="H18" i="52"/>
  <c r="H19" i="52"/>
  <c r="H20" i="52"/>
  <c r="H21" i="52"/>
  <c r="H22" i="52"/>
  <c r="H23" i="52"/>
  <c r="H24" i="52"/>
  <c r="H25" i="52"/>
  <c r="H26" i="52"/>
  <c r="H27" i="52"/>
  <c r="H28" i="52"/>
  <c r="H29" i="52"/>
  <c r="H30" i="52"/>
  <c r="H31" i="52"/>
  <c r="H32" i="52"/>
  <c r="H33" i="52"/>
  <c r="H34" i="52"/>
  <c r="H35" i="52"/>
  <c r="H36" i="52"/>
  <c r="H37" i="52"/>
  <c r="H38" i="52"/>
  <c r="H39" i="52"/>
  <c r="H40" i="52"/>
  <c r="H41" i="52"/>
  <c r="H42" i="52"/>
  <c r="H43" i="52"/>
  <c r="H44" i="52"/>
  <c r="H45" i="52"/>
  <c r="H46" i="52"/>
  <c r="H47" i="52"/>
  <c r="H48" i="52"/>
  <c r="H49" i="52"/>
  <c r="H50" i="52"/>
  <c r="H51" i="52"/>
  <c r="H52" i="52"/>
  <c r="H53" i="52"/>
  <c r="H54" i="52"/>
  <c r="H55" i="52"/>
  <c r="H56" i="52"/>
  <c r="H57" i="52"/>
  <c r="H58" i="52"/>
  <c r="H59" i="52"/>
  <c r="H60" i="52"/>
  <c r="H61" i="52"/>
  <c r="H62" i="52"/>
  <c r="H63" i="52"/>
  <c r="H64" i="52"/>
  <c r="H65" i="52"/>
  <c r="H66" i="52"/>
  <c r="H67" i="52"/>
  <c r="H68" i="52"/>
  <c r="H69" i="52"/>
  <c r="H70" i="52"/>
  <c r="H71" i="52"/>
  <c r="H72" i="52"/>
  <c r="H73" i="52"/>
  <c r="H74" i="52"/>
  <c r="H75" i="52"/>
  <c r="H76" i="52"/>
  <c r="H77" i="52"/>
  <c r="H78" i="52"/>
  <c r="H79" i="52"/>
  <c r="H80" i="52"/>
  <c r="H81" i="52"/>
  <c r="H82" i="52"/>
  <c r="H83" i="52"/>
  <c r="H84" i="52"/>
  <c r="H85" i="52"/>
  <c r="H86" i="52"/>
  <c r="H87" i="52"/>
  <c r="H88" i="52"/>
  <c r="H89" i="52"/>
  <c r="H90" i="52"/>
  <c r="H91" i="52"/>
  <c r="H92" i="52"/>
  <c r="H93" i="52"/>
  <c r="H94" i="52"/>
  <c r="H95" i="52"/>
  <c r="H96" i="52"/>
  <c r="H97" i="52"/>
  <c r="H98" i="52"/>
  <c r="H99" i="52"/>
  <c r="H100" i="52"/>
  <c r="H101" i="52"/>
  <c r="H102" i="52"/>
  <c r="H103" i="52"/>
  <c r="H104" i="52"/>
  <c r="H105" i="52"/>
  <c r="H106" i="52"/>
  <c r="H107" i="52"/>
  <c r="H108" i="52"/>
  <c r="H109" i="52"/>
  <c r="H110" i="52"/>
  <c r="H111" i="52"/>
  <c r="H112" i="52"/>
  <c r="H113" i="52"/>
  <c r="H114" i="52"/>
  <c r="H115" i="52"/>
  <c r="H116" i="52"/>
  <c r="H117" i="52"/>
  <c r="H118" i="52"/>
  <c r="H119" i="52"/>
  <c r="H120" i="52"/>
  <c r="H121" i="52"/>
  <c r="H122" i="52"/>
  <c r="H123" i="52"/>
  <c r="H124" i="52"/>
  <c r="H125" i="52"/>
  <c r="H126" i="52"/>
  <c r="H127" i="52"/>
  <c r="H128" i="52"/>
  <c r="H129" i="52"/>
  <c r="H130" i="52"/>
  <c r="H131" i="52"/>
  <c r="H132" i="52"/>
  <c r="H133" i="52"/>
  <c r="H134" i="52"/>
  <c r="H135" i="52"/>
  <c r="H136" i="52"/>
  <c r="H137" i="52"/>
  <c r="H138" i="52"/>
  <c r="H139" i="52"/>
  <c r="H140" i="52"/>
  <c r="H141" i="52"/>
  <c r="H142" i="52"/>
  <c r="H143" i="52"/>
  <c r="H144" i="52"/>
  <c r="H145" i="52"/>
  <c r="H146" i="52"/>
  <c r="H147" i="52"/>
  <c r="H148" i="52"/>
  <c r="H149" i="52"/>
  <c r="H150" i="52"/>
  <c r="H151" i="52"/>
  <c r="H152" i="52"/>
  <c r="H153" i="52"/>
  <c r="H154" i="52"/>
  <c r="H155" i="52"/>
  <c r="H156" i="52"/>
  <c r="H157" i="52"/>
  <c r="H158" i="52"/>
  <c r="H159" i="52"/>
  <c r="H160" i="52"/>
  <c r="H161" i="52"/>
  <c r="H162" i="52"/>
  <c r="H163" i="52"/>
  <c r="H164" i="52"/>
  <c r="H165" i="52"/>
  <c r="H166" i="52"/>
  <c r="H167" i="52"/>
  <c r="H168" i="52"/>
  <c r="H169" i="52"/>
  <c r="H170" i="52"/>
  <c r="H171" i="52"/>
  <c r="H172" i="52"/>
  <c r="H173" i="52"/>
  <c r="H174" i="52"/>
  <c r="H175" i="52"/>
  <c r="H176" i="52"/>
  <c r="H177" i="52"/>
  <c r="H178" i="52"/>
  <c r="H179" i="52"/>
  <c r="H180" i="52"/>
  <c r="H181" i="52"/>
  <c r="H182" i="52"/>
  <c r="H183" i="52"/>
  <c r="H184" i="52"/>
  <c r="H185" i="52"/>
  <c r="H186" i="52"/>
  <c r="H187" i="52"/>
  <c r="H188" i="52"/>
  <c r="H189" i="52"/>
  <c r="H190" i="52"/>
  <c r="H191" i="52"/>
  <c r="H192" i="52"/>
  <c r="H193" i="52"/>
  <c r="H194" i="52"/>
  <c r="H195" i="52"/>
  <c r="H196" i="52"/>
  <c r="H8" i="52"/>
  <c r="G8" i="52"/>
</calcChain>
</file>

<file path=xl/sharedStrings.xml><?xml version="1.0" encoding="utf-8"?>
<sst xmlns="http://schemas.openxmlformats.org/spreadsheetml/2006/main" count="771" uniqueCount="441">
  <si>
    <t>Транспортное средство</t>
  </si>
  <si>
    <t>Время начала</t>
  </si>
  <si>
    <t>Время окончания</t>
  </si>
  <si>
    <t>Событие</t>
  </si>
  <si>
    <t>Объём, л</t>
  </si>
  <si>
    <t>Отчет:</t>
  </si>
  <si>
    <t>Период:</t>
  </si>
  <si>
    <t>Транспортные средства:</t>
  </si>
  <si>
    <t>Заправки и сливы</t>
  </si>
  <si>
    <t>Комментарий</t>
  </si>
  <si>
    <t>Заправочная ведомость, л</t>
  </si>
  <si>
    <t>Погрешность, л</t>
  </si>
  <si>
    <t>Погрешность, %</t>
  </si>
  <si>
    <t>"+" "-"</t>
  </si>
  <si>
    <t>Слив</t>
  </si>
  <si>
    <t>01.09.2020 00:00:00 - 06.09.2020 23:59:00 (UTC +03:00)</t>
  </si>
  <si>
    <t>Doosan Solar 420 LC-V [9875 са 63]</t>
  </si>
  <si>
    <t>01.09.2020 03:38:56</t>
  </si>
  <si>
    <t>01.09.2020 04:26:54</t>
  </si>
  <si>
    <t>Четра Т.11 [4818 ак 63]</t>
  </si>
  <si>
    <t>06.03.2021 00:06:41</t>
  </si>
  <si>
    <t>06.03.2021 00:13:41</t>
  </si>
  <si>
    <t>Заправка</t>
  </si>
  <si>
    <t>Урал АТЗ [в 310 нк 89]</t>
  </si>
  <si>
    <t>06.03.2021 00:19:59</t>
  </si>
  <si>
    <t>06.03.2021 00:22:29</t>
  </si>
  <si>
    <t>Залив</t>
  </si>
  <si>
    <t>Cat 320DL [6673 от 63]</t>
  </si>
  <si>
    <t>06.03.2021 00:25:56</t>
  </si>
  <si>
    <t>06.03.2021 00:31:56</t>
  </si>
  <si>
    <t>06.03.2021 00:33:29</t>
  </si>
  <si>
    <t>06.03.2021 00:34:59</t>
  </si>
  <si>
    <t>06.03.2021 00:35:59</t>
  </si>
  <si>
    <t>06.03.2021 00:36:59</t>
  </si>
  <si>
    <t>06.03.2021 00:37:29</t>
  </si>
  <si>
    <t>06.03.2021 00:38:29</t>
  </si>
  <si>
    <t>06.03.2021 00:39:59</t>
  </si>
  <si>
    <t>06.03.2021 00:55:29</t>
  </si>
  <si>
    <t>Cat D9R [3996 ср 63]</t>
  </si>
  <si>
    <t>06.03.2021 00:40:17</t>
  </si>
  <si>
    <t>06.03.2021 00:47:47</t>
  </si>
  <si>
    <t>Газ [а 967 ун 763]</t>
  </si>
  <si>
    <t>06.03.2021 00:53:28</t>
  </si>
  <si>
    <t>06.03.2021 01:00:13</t>
  </si>
  <si>
    <t>06.03.2021 01:00:29</t>
  </si>
  <si>
    <t>06.03.2021 01:01:29</t>
  </si>
  <si>
    <t>Komatsu D-65 [2040 ак 63]</t>
  </si>
  <si>
    <t>06.03.2021 01:01:35</t>
  </si>
  <si>
    <t>06.03.2021 01:08:35</t>
  </si>
  <si>
    <t>Komatsu PC-400 [4655 се 63]</t>
  </si>
  <si>
    <t>06.03.2021 01:04:50</t>
  </si>
  <si>
    <t>06.03.2021 01:16:20</t>
  </si>
  <si>
    <t>06.03.2021 01:24:29</t>
  </si>
  <si>
    <t>06.03.2021 01:29:29</t>
  </si>
  <si>
    <t>06.03.2021 01:33:59</t>
  </si>
  <si>
    <t>06.03.2021 01:35:59</t>
  </si>
  <si>
    <t>Четра Т-11.02 ЯБР-2 [7434 су 63]</t>
  </si>
  <si>
    <t>06.03.2021 01:41:58</t>
  </si>
  <si>
    <t>06.03.2021 01:47:28</t>
  </si>
  <si>
    <t>06.03.2021 01:49:59</t>
  </si>
  <si>
    <t>06.03.2021 01:51:59</t>
  </si>
  <si>
    <t>06.03.2021 02:00:59</t>
  </si>
  <si>
    <t>06.03.2021 02:02:59</t>
  </si>
  <si>
    <t>06.03.2021 02:03:29</t>
  </si>
  <si>
    <t>06.03.2021 02:04:29</t>
  </si>
  <si>
    <t>06.03.2021 02:06:59</t>
  </si>
  <si>
    <t>06.03.2021 02:08:29</t>
  </si>
  <si>
    <t>06.03.2021 02:09:59</t>
  </si>
  <si>
    <t>06.03.2021 02:13:47</t>
  </si>
  <si>
    <t>Komatsu PC-300 [4678 ак 63]</t>
  </si>
  <si>
    <t>06.03.2021 02:28:57</t>
  </si>
  <si>
    <t>06.03.2021 02:33:57</t>
  </si>
  <si>
    <t>Автобус Газ-3295А1 [а 897 ун 763]</t>
  </si>
  <si>
    <t>06.03.2021 03:44:14</t>
  </si>
  <si>
    <t>06.03.2021 03:49:44</t>
  </si>
  <si>
    <t>Урал [с 292 кх 163]</t>
  </si>
  <si>
    <t>06.03.2021 03:52:21</t>
  </si>
  <si>
    <t>06.03.2021 03:55:51</t>
  </si>
  <si>
    <t>ГАЗ 3034L6 [С 370 КН 163]</t>
  </si>
  <si>
    <t>06.03.2021 03:54:54</t>
  </si>
  <si>
    <t>06.03.2021 03:58:24</t>
  </si>
  <si>
    <t>Газ [а 872 ун 763]</t>
  </si>
  <si>
    <t>06.03.2021 03:58:45</t>
  </si>
  <si>
    <t>06.03.2021 04:06:00</t>
  </si>
  <si>
    <t>Урал [р 419 ок 163]</t>
  </si>
  <si>
    <t>06.03.2021 04:01:25</t>
  </si>
  <si>
    <t>06.03.2021 04:11:52</t>
  </si>
  <si>
    <t>Урал [е 010 оу 163]</t>
  </si>
  <si>
    <t>06.03.2021 04:02:09</t>
  </si>
  <si>
    <t>06.03.2021 04:06:39</t>
  </si>
  <si>
    <t>Урал [в 611 вс 163]</t>
  </si>
  <si>
    <t>06.03.2021 04:06:47</t>
  </si>
  <si>
    <t>06.03.2021 04:11:17</t>
  </si>
  <si>
    <t>А/мастерская УРАЛ УЗСТ 5860-46 [в 587 мр 89]</t>
  </si>
  <si>
    <t>06.03.2021 04:12:14</t>
  </si>
  <si>
    <t>06.03.2021 04:14:44</t>
  </si>
  <si>
    <t>Урал [в 999 ну 163]</t>
  </si>
  <si>
    <t>06.03.2021 04:13:01</t>
  </si>
  <si>
    <t>06.03.2021 04:19:31</t>
  </si>
  <si>
    <t>УРАЛ КС-55732 [А 971 ТС 63]</t>
  </si>
  <si>
    <t>06.03.2021 04:17:15</t>
  </si>
  <si>
    <t>06.03.2021 04:20:45</t>
  </si>
  <si>
    <t>Урал [с 937 вв 163]</t>
  </si>
  <si>
    <t>06.03.2021 04:19:49</t>
  </si>
  <si>
    <t>06.03.2021 04:26:19</t>
  </si>
  <si>
    <t>Автобус Газ-32841000001006 [о 889 хв 163]</t>
  </si>
  <si>
    <t>06.03.2021 04:22:34</t>
  </si>
  <si>
    <t>06.03.2021 04:28:04</t>
  </si>
  <si>
    <t>06.03.2021 04:24:24</t>
  </si>
  <si>
    <t>06.03.2021 04:28:24</t>
  </si>
  <si>
    <t>06.03.2021 04:26:28</t>
  </si>
  <si>
    <t>06.03.2021 04:32:43</t>
  </si>
  <si>
    <t>ГАЗ [а 905 ун 763]</t>
  </si>
  <si>
    <t>06.03.2021 04:28:01</t>
  </si>
  <si>
    <t>06.03.2021 04:35:31</t>
  </si>
  <si>
    <t>Камаз [с 465 во 163]</t>
  </si>
  <si>
    <t>06.03.2021 04:28:15</t>
  </si>
  <si>
    <t>06.03.2021 04:34:45</t>
  </si>
  <si>
    <t>06.03.2021 04:28:54</t>
  </si>
  <si>
    <t>Автобус УРАЛ-3255 [к 221 ем 163]</t>
  </si>
  <si>
    <t>06.03.2021 04:33:06</t>
  </si>
  <si>
    <t>06.03.2021 04:41:36</t>
  </si>
  <si>
    <t>Урал [о 654 вв 63]</t>
  </si>
  <si>
    <t>06.03.2021 04:36:42</t>
  </si>
  <si>
    <t>06.03.2021 05:09:42</t>
  </si>
  <si>
    <t>Газ [к 753 ат 763]</t>
  </si>
  <si>
    <t>06.03.2021 04:37:05</t>
  </si>
  <si>
    <t>06.03.2021 04:42:35</t>
  </si>
  <si>
    <t>Урал [а 806 ва 763]</t>
  </si>
  <si>
    <t>06.03.2021 04:40:08</t>
  </si>
  <si>
    <t>06.03.2021 04:42:38</t>
  </si>
  <si>
    <t>Урал [в 797 мт 89]</t>
  </si>
  <si>
    <t>06.03.2021 04:43:25</t>
  </si>
  <si>
    <t>06.03.2021 04:47:55</t>
  </si>
  <si>
    <t>Komatsu D-355C [2178 са 63]</t>
  </si>
  <si>
    <t>06.03.2021 04:49:06</t>
  </si>
  <si>
    <t>06.03.2021 04:55:06</t>
  </si>
  <si>
    <t>06.03.2021 04:50:24</t>
  </si>
  <si>
    <t>06.03.2021 04:56:54</t>
  </si>
  <si>
    <t>Урал [о 633 ам 163]</t>
  </si>
  <si>
    <t>06.03.2021 04:55:05</t>
  </si>
  <si>
    <t>06.03.2021 05:54:35</t>
  </si>
  <si>
    <t>06.03.2021 05:00:54</t>
  </si>
  <si>
    <t>06.03.2021 05:03:24</t>
  </si>
  <si>
    <t>06.03.2021 05:02:15</t>
  </si>
  <si>
    <t>06.03.2021 05:09:15</t>
  </si>
  <si>
    <t>06.03.2021 05:04:24</t>
  </si>
  <si>
    <t>06.03.2021 05:06:24</t>
  </si>
  <si>
    <t>06.03.2021 05:23:54</t>
  </si>
  <si>
    <t>06.03.2021 05:26:54</t>
  </si>
  <si>
    <t>06.03.2021 05:27:24</t>
  </si>
  <si>
    <t>06.03.2021 05:31:24</t>
  </si>
  <si>
    <t>06.03.2021 05:32:54</t>
  </si>
  <si>
    <t>06.03.2021 05:33:24</t>
  </si>
  <si>
    <t>06.03.2021 05:36:54</t>
  </si>
  <si>
    <t>06.03.2021 05:37:54</t>
  </si>
  <si>
    <t>06.03.2021 05:38:24</t>
  </si>
  <si>
    <t>06.03.2021 07:25:09</t>
  </si>
  <si>
    <t>Doosan Solar-255LC-V [3443 су 63]</t>
  </si>
  <si>
    <t>06.03.2021 06:04:07</t>
  </si>
  <si>
    <t>06.03.2021 06:08:37</t>
  </si>
  <si>
    <t>Камаз АТЗ 66062 [В 259 ХН 763]</t>
  </si>
  <si>
    <t>06.03.2021 06:10:41</t>
  </si>
  <si>
    <t>06.03.2021 06:13:41</t>
  </si>
  <si>
    <t>Камаз [о 784 са 89]</t>
  </si>
  <si>
    <t>06.03.2021 06:35:59</t>
  </si>
  <si>
    <t>06.03.2021 06:43:58</t>
  </si>
  <si>
    <t>Iveco [е 142 мк 763]</t>
  </si>
  <si>
    <t>06.03.2021 06:39:15</t>
  </si>
  <si>
    <t>06.03.2021 06:45:15</t>
  </si>
  <si>
    <t>Iveco [о 842 хе 163]</t>
  </si>
  <si>
    <t>06.03.2021 06:42:47</t>
  </si>
  <si>
    <t>06.03.2021 06:49:17</t>
  </si>
  <si>
    <t>Komatsu D-355C [9765 се 63]</t>
  </si>
  <si>
    <t>06.03.2021 06:46:25</t>
  </si>
  <si>
    <t>06.03.2021 06:51:25</t>
  </si>
  <si>
    <t>Iveco [е 146 мс 763]</t>
  </si>
  <si>
    <t>06.03.2021 06:57:08</t>
  </si>
  <si>
    <t>06.03.2021 07:03:08</t>
  </si>
  <si>
    <t>06.03.2021 07:00:11</t>
  </si>
  <si>
    <t>06.03.2021 07:05:11</t>
  </si>
  <si>
    <t>Четра Т.11 [3633 св 63]</t>
  </si>
  <si>
    <t>06.03.2021 07:15:38</t>
  </si>
  <si>
    <t>06.03.2021 07:21:38</t>
  </si>
  <si>
    <t>06.03.2021 07:18:11</t>
  </si>
  <si>
    <t>06.03.2021 07:21:11</t>
  </si>
  <si>
    <t>Komatsu D-355 [2180 са 63]</t>
  </si>
  <si>
    <t>06.03.2021 07:30:41</t>
  </si>
  <si>
    <t>06.03.2021 07:40:41</t>
  </si>
  <si>
    <t>Komatsu D-355C [2177 са 63]</t>
  </si>
  <si>
    <t>06.03.2021 07:36:04</t>
  </si>
  <si>
    <t>06.03.2021 07:42:34</t>
  </si>
  <si>
    <t>Komatsu D-355C [2182 са 63]</t>
  </si>
  <si>
    <t>06.03.2021 07:42:24</t>
  </si>
  <si>
    <t>06.03.2021 07:49:54</t>
  </si>
  <si>
    <t>06.03.2021 07:44:09</t>
  </si>
  <si>
    <t>06.03.2021 07:48:09</t>
  </si>
  <si>
    <t>06.03.2021 07:53:39</t>
  </si>
  <si>
    <t>ТГ-122Я-1 [7359 су 63]</t>
  </si>
  <si>
    <t>06.03.2021 07:49:25</t>
  </si>
  <si>
    <t>06.03.2021 07:58:55</t>
  </si>
  <si>
    <t>Iveco [е 143 мк 763]</t>
  </si>
  <si>
    <t>06.03.2021 07:49:53</t>
  </si>
  <si>
    <t>06.03.2021 07:55:53</t>
  </si>
  <si>
    <t>06.03.2021 08:00:09</t>
  </si>
  <si>
    <t>06.03.2021 08:01:39</t>
  </si>
  <si>
    <t>06.03.2021 08:02:09</t>
  </si>
  <si>
    <t>06.03.2021 08:03:39</t>
  </si>
  <si>
    <t>06.03.2021 08:04:39</t>
  </si>
  <si>
    <t>06.03.2021 08:07:09</t>
  </si>
  <si>
    <t>ТГ-122Я [5404 ак 63]</t>
  </si>
  <si>
    <t>06.03.2021 08:04:59</t>
  </si>
  <si>
    <t>06.03.2021 08:12:59</t>
  </si>
  <si>
    <t>АД-100 [101752] уст. АСТ 3918 ср 63</t>
  </si>
  <si>
    <t>06.03.2021 08:06:46</t>
  </si>
  <si>
    <t>06.03.2021 08:11:01</t>
  </si>
  <si>
    <t>АСТ-4А [3918 ср 63]</t>
  </si>
  <si>
    <t>06.03.2021 08:08:36</t>
  </si>
  <si>
    <t>06.03.2021 08:14:36</t>
  </si>
  <si>
    <t>АД-100 [101753]</t>
  </si>
  <si>
    <t>06.03.2021 08:10:27</t>
  </si>
  <si>
    <t>06.03.2021 08:11:27</t>
  </si>
  <si>
    <t>Komatsu D-355C [2181 са 63]</t>
  </si>
  <si>
    <t>06.03.2021 08:14:05</t>
  </si>
  <si>
    <t>06.03.2021 08:18:05</t>
  </si>
  <si>
    <t>Komatsu D-355C [2179 са 63]</t>
  </si>
  <si>
    <t>06.03.2021 08:19:16</t>
  </si>
  <si>
    <t>06.03.2021 08:24:46</t>
  </si>
  <si>
    <t>06.03.2021 08:26:09</t>
  </si>
  <si>
    <t>06.03.2021 08:27:39</t>
  </si>
  <si>
    <t>06.03.2021 08:29:39</t>
  </si>
  <si>
    <t>06.03.2021 08:30:39</t>
  </si>
  <si>
    <t>06.03.2021 08:31:39</t>
  </si>
  <si>
    <t>06.03.2021 08:34:09</t>
  </si>
  <si>
    <t>06.03.2021 08:36:39</t>
  </si>
  <si>
    <t>06.03.2021 08:39:09</t>
  </si>
  <si>
    <t>06.03.2021 08:37:41</t>
  </si>
  <si>
    <t>06.03.2021 08:40:11</t>
  </si>
  <si>
    <t>06.03.2021 08:40:09</t>
  </si>
  <si>
    <t>06.03.2021 08:46:09</t>
  </si>
  <si>
    <t>06.03.2021 08:47:39</t>
  </si>
  <si>
    <t>Komatsu PC-400 [4679 ак 63]</t>
  </si>
  <si>
    <t>06.03.2021 08:47:05</t>
  </si>
  <si>
    <t>06.03.2021 08:53:05</t>
  </si>
  <si>
    <t>06.03.2021 08:49:09</t>
  </si>
  <si>
    <t>06.03.2021 08:51:09</t>
  </si>
  <si>
    <t>06.03.2021 08:53:09</t>
  </si>
  <si>
    <t>06.03.2021 08:54:09</t>
  </si>
  <si>
    <t>06.03.2021 09:02:09</t>
  </si>
  <si>
    <t>06.03.2021 08:55:41</t>
  </si>
  <si>
    <t>06.03.2021 08:58:11</t>
  </si>
  <si>
    <t>Урал [с 611 вр 163]</t>
  </si>
  <si>
    <t>06.03.2021 08:58:26</t>
  </si>
  <si>
    <t>06.03.2021 09:04:56</t>
  </si>
  <si>
    <t>06.03.2021 09:04:11</t>
  </si>
  <si>
    <t>06.03.2021 09:08:11</t>
  </si>
  <si>
    <t>06.03.2021 09:07:09</t>
  </si>
  <si>
    <t>06.03.2021 09:07:39</t>
  </si>
  <si>
    <t>06.03.2021 09:10:11</t>
  </si>
  <si>
    <t>06.03.2021 09:13:41</t>
  </si>
  <si>
    <t>06.03.2021 09:15:09</t>
  </si>
  <si>
    <t>06.03.2021 09:17:39</t>
  </si>
  <si>
    <t>06.03.2021 09:18:41</t>
  </si>
  <si>
    <t>06.03.2021 09:24:11</t>
  </si>
  <si>
    <t>Четра Т-11.02ЯБР [7435 су 63]</t>
  </si>
  <si>
    <t>06.03.2021 09:19:49</t>
  </si>
  <si>
    <t>06.03.2021 09:25:19</t>
  </si>
  <si>
    <t>06.03.2021 09:26:39</t>
  </si>
  <si>
    <t>06.03.2021 09:29:39</t>
  </si>
  <si>
    <t>06.03.2021 09:34:39</t>
  </si>
  <si>
    <t>06.03.2021 09:35:09</t>
  </si>
  <si>
    <t>06.03.2021 09:36:09</t>
  </si>
  <si>
    <t>06.03.2021 09:42:29</t>
  </si>
  <si>
    <t>06.03.2021 09:44:59</t>
  </si>
  <si>
    <t>06.03.2021 09:42:39</t>
  </si>
  <si>
    <t>06.03.2021 09:47:09</t>
  </si>
  <si>
    <t>06.03.2021 09:47:59</t>
  </si>
  <si>
    <t>06.03.2021 09:51:29</t>
  </si>
  <si>
    <t>06.03.2021 09:57:09</t>
  </si>
  <si>
    <t>06.03.2021 09:58:39</t>
  </si>
  <si>
    <t>06.03.2021 09:59:39</t>
  </si>
  <si>
    <t>06.03.2021 10:02:09</t>
  </si>
  <si>
    <t>06.03.2021 10:03:39</t>
  </si>
  <si>
    <t>06.03.2021 10:31:05</t>
  </si>
  <si>
    <t>06.03.2021 10:25:19</t>
  </si>
  <si>
    <t>06.03.2021 10:28:49</t>
  </si>
  <si>
    <t>06.03.2021 10:34:35</t>
  </si>
  <si>
    <t>06.03.2021 10:37:08</t>
  </si>
  <si>
    <t>06.03.2021 10:42:41</t>
  </si>
  <si>
    <t>06.03.2021 10:45:41</t>
  </si>
  <si>
    <t>06.03.2021 11:08:33</t>
  </si>
  <si>
    <t>06.03.2021 11:14:33</t>
  </si>
  <si>
    <t>06.03.2021 11:09:11</t>
  </si>
  <si>
    <t>06.03.2021 11:13:11</t>
  </si>
  <si>
    <t>06.03.2021 11:16:11</t>
  </si>
  <si>
    <t>06.03.2021 11:19:41</t>
  </si>
  <si>
    <t>06.03.2021 11:36:49</t>
  </si>
  <si>
    <t>06.03.2021 11:41:19</t>
  </si>
  <si>
    <t>06.03.2021 13:06:49</t>
  </si>
  <si>
    <t>06.03.2021 13:12:49</t>
  </si>
  <si>
    <t>УРАЛ АТЗ 4320 [о 685 вв 63] - 6650 л.</t>
  </si>
  <si>
    <t>06.03.2021 15:19:07</t>
  </si>
  <si>
    <t>06.03.2021 15:29:07</t>
  </si>
  <si>
    <t>Камаз 5814Т6 [в 391 ус 763]</t>
  </si>
  <si>
    <t>06.03.2021 15:48:30</t>
  </si>
  <si>
    <t>06.03.2021 15:51:30</t>
  </si>
  <si>
    <t>06.03.2021 15:50:45</t>
  </si>
  <si>
    <t>06.03.2021 15:57:30</t>
  </si>
  <si>
    <t>06.03.2021 15:52:15</t>
  </si>
  <si>
    <t>06.03.2021 15:56:45</t>
  </si>
  <si>
    <t>Камаз [о 779 са 89]</t>
  </si>
  <si>
    <t>06.03.2021 16:15:32</t>
  </si>
  <si>
    <t>06.03.2021 16:19:32</t>
  </si>
  <si>
    <t>06.03.2021 16:27:32</t>
  </si>
  <si>
    <t>06.03.2021 16:33:32</t>
  </si>
  <si>
    <t>06.03.2021 16:31:19</t>
  </si>
  <si>
    <t>06.03.2021 16:35:49</t>
  </si>
  <si>
    <t>06.03.2021 16:31:58</t>
  </si>
  <si>
    <t>06.03.2021 16:39:13</t>
  </si>
  <si>
    <t>06.03.2021 17:32:48</t>
  </si>
  <si>
    <t>06.03.2021 17:39:48</t>
  </si>
  <si>
    <t>Komatsu РС-300-8 [0925 АК 63]</t>
  </si>
  <si>
    <t>06.03.2021 17:33:42</t>
  </si>
  <si>
    <t>06.03.2021 17:40:12</t>
  </si>
  <si>
    <t>06.03.2021 18:19:07</t>
  </si>
  <si>
    <t>06.03.2021 18:24:07</t>
  </si>
  <si>
    <t>06.03.2021 18:30:37</t>
  </si>
  <si>
    <t>06.03.2021 18:48:37</t>
  </si>
  <si>
    <t>06.03.2021 19:04:18</t>
  </si>
  <si>
    <t>06.03.2021 19:05:48</t>
  </si>
  <si>
    <t>06.03.2021 19:08:06</t>
  </si>
  <si>
    <t>06.03.2021 19:15:36</t>
  </si>
  <si>
    <t>АД-100 [106877]</t>
  </si>
  <si>
    <t>06.03.2021 19:16:57</t>
  </si>
  <si>
    <t>06.03.2021 19:23:42</t>
  </si>
  <si>
    <t>06.03.2021 19:18:48</t>
  </si>
  <si>
    <t>06.03.2021 19:24:49</t>
  </si>
  <si>
    <t>06.03.2021 19:25:49</t>
  </si>
  <si>
    <t>06.03.2021 19:50:49</t>
  </si>
  <si>
    <t>06.03.2021 19:53:49</t>
  </si>
  <si>
    <t>06.03.2021 19:55:19</t>
  </si>
  <si>
    <t>06.03.2021 19:58:19</t>
  </si>
  <si>
    <t>06.03.2021 19:56:06</t>
  </si>
  <si>
    <t>06.03.2021 20:02:36</t>
  </si>
  <si>
    <t>06.03.2021 19:59:49</t>
  </si>
  <si>
    <t>06.03.2021 20:08:19</t>
  </si>
  <si>
    <t>06.03.2021 20:14:19</t>
  </si>
  <si>
    <t>06.03.2021 20:19:49</t>
  </si>
  <si>
    <t>06.03.2021 20:21:49</t>
  </si>
  <si>
    <t>06.03.2021 20:22:49</t>
  </si>
  <si>
    <t>06.03.2021 20:24:19</t>
  </si>
  <si>
    <t>06.03.2021 20:26:49</t>
  </si>
  <si>
    <t>06.03.2021 20:27:49</t>
  </si>
  <si>
    <t>06.03.2021 20:29:19</t>
  </si>
  <si>
    <t>06.03.2021 20:32:06</t>
  </si>
  <si>
    <t>06.03.2021 20:40:36</t>
  </si>
  <si>
    <t>06.03.2021 20:36:19</t>
  </si>
  <si>
    <t>06.03.2021 20:37:49</t>
  </si>
  <si>
    <t>06.03.2021 20:39:49</t>
  </si>
  <si>
    <t>06.03.2021 20:40:19</t>
  </si>
  <si>
    <t>06.03.2021 20:45:19</t>
  </si>
  <si>
    <t>06.03.2021 20:47:49</t>
  </si>
  <si>
    <t>06.03.2021 20:51:06</t>
  </si>
  <si>
    <t>06.03.2021 21:01:36</t>
  </si>
  <si>
    <t>06.03.2021 20:51:19</t>
  </si>
  <si>
    <t>06.03.2021 20:52:19</t>
  </si>
  <si>
    <t>06.03.2021 20:53:49</t>
  </si>
  <si>
    <t>06.03.2021 20:54:19</t>
  </si>
  <si>
    <t>06.03.2021 20:54:49</t>
  </si>
  <si>
    <t>06.03.2021 20:56:19</t>
  </si>
  <si>
    <t>06.03.2021 20:57:19</t>
  </si>
  <si>
    <t>06.03.2021 20:58:49</t>
  </si>
  <si>
    <t>06.03.2021 21:02:19</t>
  </si>
  <si>
    <t>06.03.2021 21:04:49</t>
  </si>
  <si>
    <t>06.03.2021 21:05:19</t>
  </si>
  <si>
    <t>06.03.2021 21:07:19</t>
  </si>
  <si>
    <t>06.03.2021 21:07:49</t>
  </si>
  <si>
    <t>06.03.2021 21:09:19</t>
  </si>
  <si>
    <t>06.03.2021 21:10:21</t>
  </si>
  <si>
    <t>06.03.2021 21:22:51</t>
  </si>
  <si>
    <t>06.03.2021 21:16:19</t>
  </si>
  <si>
    <t>06.03.2021 21:33:49</t>
  </si>
  <si>
    <t>06.03.2021 21:38:49</t>
  </si>
  <si>
    <t>06.03.2021 21:40:19</t>
  </si>
  <si>
    <t>06.03.2021 21:40:49</t>
  </si>
  <si>
    <t>06.03.2021 21:41:49</t>
  </si>
  <si>
    <t>06.03.2021 21:46:49</t>
  </si>
  <si>
    <t>06.03.2021 21:48:19</t>
  </si>
  <si>
    <t>06.03.2021 21:49:49</t>
  </si>
  <si>
    <t>06.03.2021 22:09:49</t>
  </si>
  <si>
    <t>06.03.2021 22:03:12</t>
  </si>
  <si>
    <t>07.03.2021 06:59:43</t>
  </si>
  <si>
    <t>06.03.2021 22:14:49</t>
  </si>
  <si>
    <t>06.03.2021 22:15:19</t>
  </si>
  <si>
    <t>06.03.2021 22:15:12</t>
  </si>
  <si>
    <t>06.03.2021 22:23:27</t>
  </si>
  <si>
    <t>06.03.2021 22:26:49</t>
  </si>
  <si>
    <t>06.03.2021 22:26:05</t>
  </si>
  <si>
    <t>06.03.2021 22:33:05</t>
  </si>
  <si>
    <t>06.03.2021 22:31:49</t>
  </si>
  <si>
    <t>06.03.2021 22:33:19</t>
  </si>
  <si>
    <t>Таблица - АД-100 [131009537]</t>
  </si>
  <si>
    <t>06.03.2021 22:35:53</t>
  </si>
  <si>
    <t>06.03.2021 22:41:38</t>
  </si>
  <si>
    <t>Таблица - АСТ-4а [1598 св 63]</t>
  </si>
  <si>
    <t>06.03.2021 22:37:21</t>
  </si>
  <si>
    <t>06.03.2021 22:43:21</t>
  </si>
  <si>
    <t>06.03.2021 22:40:19</t>
  </si>
  <si>
    <t>06.03.2021 22:43:19</t>
  </si>
  <si>
    <t>06.03.2021 22:44:49</t>
  </si>
  <si>
    <t>06.03.2021 22:52:05</t>
  </si>
  <si>
    <t>06.03.2021 22:56:20</t>
  </si>
  <si>
    <t>06.03.2021 22:54:13</t>
  </si>
  <si>
    <t>06.03.2021 22:56:43</t>
  </si>
  <si>
    <t>06.03.2021 22:55:05</t>
  </si>
  <si>
    <t>06.03.2021 23:03:35</t>
  </si>
  <si>
    <t>АСТ-4А [4036 ср 63]</t>
  </si>
  <si>
    <t>06.03.2021 22:56:51</t>
  </si>
  <si>
    <t>06.03.2021 23:00:21</t>
  </si>
  <si>
    <t>06.03.2021 23:04:27</t>
  </si>
  <si>
    <t>06.03.2021 23:11:12</t>
  </si>
  <si>
    <t>06.03.2021 23:11:58</t>
  </si>
  <si>
    <t>06.03.2021 23:17:28</t>
  </si>
  <si>
    <t>06.03.2021 23:19:49</t>
  </si>
  <si>
    <t>06.03.2021 23:21:19</t>
  </si>
  <si>
    <t>06.03.2021 23:21:49</t>
  </si>
  <si>
    <t>06.03.2021 23:25:19</t>
  </si>
  <si>
    <t>06.03.2021 23:25:35</t>
  </si>
  <si>
    <t>06.03.2021 23:42:35</t>
  </si>
  <si>
    <t>06.03.2021 23:25:49</t>
  </si>
  <si>
    <t>06.03.2021 23:27:19</t>
  </si>
  <si>
    <t>06.03.2021 23:26:19</t>
  </si>
  <si>
    <t>06.03.2021 23:33:49</t>
  </si>
  <si>
    <t>06.03.2021 23:27:49</t>
  </si>
  <si>
    <t>06.03.2021 23:36:19</t>
  </si>
  <si>
    <t>06.03.2021 23:41:19</t>
  </si>
  <si>
    <t>06.03.2021 23:43:19</t>
  </si>
  <si>
    <t>06.03.2021 23:42:17</t>
  </si>
  <si>
    <t>06.03.2021 23:50:47</t>
  </si>
  <si>
    <t>06.03.2021 23:57:49</t>
  </si>
  <si>
    <t>07.03.2021 00:05:49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</si>
</sst>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indexed="8"/>
      <name val="Calibri"/>
      <family val="2"/>
      <scheme val="minor"/>
    </font>
    <font>
      <b/>
      <sz val="10"/>
      <name val="Arial"/>
      <family val="2"/>
      <charset val="204"/>
    </font>
    <font>
      <b/>
      <sz val="11"/>
      <name val="Calibri"/>
      <family val="2"/>
      <charset val="204"/>
    </font>
    <font>
      <sz val="11"/>
      <name val="Calibri"/>
      <family val="2"/>
      <charset val="204"/>
    </font>
    <font>
      <sz val="11"/>
      <name val="Calibri"/>
      <family val="2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/>
  </cellStyleXfs>
  <cellXfs count="33">
    <xf numFmtId="0" fontId="0" fillId="0" borderId="0" xfId="0"/>
    <xf numFmtId="10" fontId="0" fillId="0" borderId="0" xfId="0" applyNumberFormat="1" applyAlignment="1">
      <alignment horizontal="center"/>
    </xf>
    <xf numFmtId="0" fontId="0" fillId="0" borderId="0" xfId="0" applyAlignment="1"/>
    <xf numFmtId="10" fontId="0" fillId="0" borderId="0" xfId="0" applyNumberFormat="1" applyAlignment="1"/>
    <xf numFmtId="0" fontId="3" fillId="0" borderId="0" xfId="0" applyFont="1" applyAlignment="1">
      <alignment vertical="center" wrapText="1"/>
    </xf>
    <xf numFmtId="0" fontId="0" fillId="0" borderId="0" xfId="0" applyFill="1"/>
    <xf numFmtId="0" fontId="0" fillId="0" borderId="0" xfId="0"/>
    <xf numFmtId="10" fontId="0" fillId="0" borderId="0" xfId="0" applyNumberFormat="1"/>
    <xf numFmtId="0" fontId="2" fillId="0" borderId="0" xfId="0" applyFont="1" applyAlignment="1">
      <alignment horizontal="left" vertical="center" wrapText="1"/>
    </xf>
    <xf numFmtId="0" fontId="1" fillId="0" borderId="1" xfId="0" applyFont="1" applyFill="1" applyBorder="1" applyAlignment="1">
      <alignment horizontal="center" vertical="center" wrapText="1"/>
    </xf>
    <xf numFmtId="164" fontId="6" fillId="0" borderId="2" xfId="0" applyNumberFormat="1" applyFont="1" applyFill="1" applyBorder="1" applyAlignment="1">
      <alignment horizontal="center" vertical="center" wrapText="1"/>
    </xf>
    <xf numFmtId="10" fontId="6" fillId="0" borderId="2" xfId="0" applyNumberFormat="1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164" fontId="8" fillId="0" borderId="5" xfId="0" applyNumberFormat="1" applyFont="1" applyFill="1" applyBorder="1"/>
    <xf numFmtId="164" fontId="7" fillId="0" borderId="4" xfId="0" applyNumberFormat="1" applyFont="1" applyFill="1" applyBorder="1" applyAlignment="1">
      <alignment vertical="top"/>
    </xf>
    <xf numFmtId="164" fontId="7" fillId="0" borderId="4" xfId="0" applyNumberFormat="1" applyFont="1" applyFill="1" applyBorder="1" applyAlignment="1">
      <alignment wrapText="1"/>
    </xf>
    <xf numFmtId="10" fontId="7" fillId="0" borderId="4" xfId="0" applyNumberFormat="1" applyFont="1" applyFill="1" applyBorder="1" applyAlignment="1">
      <alignment wrapText="1"/>
    </xf>
    <xf numFmtId="10" fontId="7" fillId="0" borderId="4" xfId="0" applyNumberFormat="1" applyFont="1" applyFill="1" applyBorder="1" applyAlignment="1">
      <alignment horizontal="center" wrapText="1"/>
    </xf>
    <xf numFmtId="0" fontId="0" fillId="0" borderId="0" xfId="0"/>
    <xf numFmtId="10" fontId="0" fillId="0" borderId="0" xfId="0" applyNumberFormat="1"/>
    <xf numFmtId="0" fontId="2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164" fontId="9" fillId="0" borderId="5" xfId="0" applyNumberFormat="1" applyFont="1" applyFill="1" applyBorder="1"/>
    <xf numFmtId="164" fontId="9" fillId="0" borderId="6" xfId="0" applyNumberFormat="1" applyFont="1" applyFill="1" applyBorder="1" applyAlignment="1">
      <alignment vertical="top"/>
    </xf>
    <xf numFmtId="164" fontId="9" fillId="0" borderId="6" xfId="0" applyNumberFormat="1" applyFont="1" applyFill="1" applyBorder="1" applyAlignment="1">
      <alignment wrapText="1"/>
    </xf>
    <xf numFmtId="10" fontId="9" fillId="0" borderId="6" xfId="0" applyNumberFormat="1" applyFont="1" applyFill="1" applyBorder="1" applyAlignment="1">
      <alignment wrapText="1"/>
    </xf>
    <xf numFmtId="10" fontId="9" fillId="0" borderId="6" xfId="0" applyNumberFormat="1" applyFont="1" applyFill="1" applyBorder="1" applyAlignment="1">
      <alignment horizontal="center" wrapText="1"/>
    </xf>
    <xf numFmtId="164" fontId="9" fillId="0" borderId="7" xfId="0" applyNumberFormat="1" applyFont="1" applyFill="1" applyBorder="1"/>
    <xf numFmtId="164" fontId="9" fillId="0" borderId="8" xfId="0" applyNumberFormat="1" applyFont="1" applyFill="1" applyBorder="1" applyAlignment="1">
      <alignment vertical="top"/>
    </xf>
    <xf numFmtId="164" fontId="9" fillId="0" borderId="8" xfId="0" applyNumberFormat="1" applyFont="1" applyFill="1" applyBorder="1" applyAlignment="1">
      <alignment wrapText="1"/>
    </xf>
    <xf numFmtId="10" fontId="9" fillId="0" borderId="8" xfId="0" applyNumberFormat="1" applyFont="1" applyFill="1" applyBorder="1" applyAlignment="1">
      <alignment wrapText="1"/>
    </xf>
    <xf numFmtId="10" fontId="9" fillId="0" borderId="8" xfId="0" applyNumberFormat="1" applyFont="1" applyFill="1" applyBorder="1" applyAlignment="1">
      <alignment horizontal="center" wrapText="1"/>
    </xf>
  </cellXfs>
  <cellStyles count="2">
    <cellStyle name="Обычный" xfId="0" builtinId="0"/>
    <cellStyle name="Обычный 2" xfId="1" xr:uid="{00000000-0005-0000-0000-000001000000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817654</xdr:colOff>
      <xdr:row>0</xdr:row>
      <xdr:rowOff>276225</xdr:rowOff>
    </xdr:to>
    <xdr:pic>
      <xdr:nvPicPr>
        <xdr:cNvPr id="2" name="Picture 1" descr="Picture">
          <a:extLst>
            <a:ext uri="{FF2B5EF4-FFF2-40B4-BE49-F238E27FC236}">
              <a16:creationId xmlns:a16="http://schemas.microsoft.com/office/drawing/2014/main" id="{CEB8DB51-7EDB-4733-9619-3A08A9B95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3017929" cy="2762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3F6867E-2A09-47A7-A184-B8D7FA4B180E}" name="Таблица14567" displayName="Таблица14567" ref="A7:J196" totalsRowShown="0" headerRowDxfId="11" dataDxfId="10">
  <autoFilter ref="A7:J196" xr:uid="{00000000-0009-0000-0100-000004000000}"/>
  <tableColumns count="10">
    <tableColumn id="1" xr3:uid="{05D2FE30-7A0B-4D15-8550-CEB1894EE164}" name="Транспортное средство" dataDxfId="9"/>
    <tableColumn id="2" xr3:uid="{F762140E-BB2F-4A29-B3CA-21CA7CBC0142}" name="Время начала" dataDxfId="8"/>
    <tableColumn id="3" xr3:uid="{F4BC6607-CAC2-4011-B053-77F9AD89A89D}" name="Время окончания" dataDxfId="7"/>
    <tableColumn id="4" xr3:uid="{3D55418E-5A90-485E-A74B-9DA17533204A}" name="Событие" dataDxfId="6"/>
    <tableColumn id="5" xr3:uid="{D8B04994-4EF1-4578-8AD7-B83559902509}" name="Объём, л" dataDxfId="5"/>
    <tableColumn id="6" xr3:uid="{CDAC88C6-1D72-4CDB-832E-7351CF768BD7}" name="Заправочная ведомость, л" dataDxfId="4"/>
    <tableColumn id="7" xr3:uid="{026FBB3E-0492-4769-AA43-4EDD95B69CE1}" name="Погрешность, л" dataDxfId="3">
      <calculatedColumnFormula>F8-E8</calculatedColumnFormula>
    </tableColumn>
    <tableColumn id="8" xr3:uid="{CF971C28-5E9C-49FD-B3E6-BC11C5D19F8E}" name="Погрешность, %" dataDxfId="2">
      <calculatedColumnFormula>IF(AND(E8&gt;0,F8&gt;0),(F8/E8)-1,IF(AND(E8=0,F8&gt;0),1-(E8/F8),IF(AND(E8&gt;0,F8=0),(F8/E8)-1)))</calculatedColumnFormula>
    </tableColumn>
    <tableColumn id="9" xr3:uid="{6DBA35F5-5F44-474C-95C9-41E834947D69}" name="&quot;+&quot; &quot;-&quot;" dataDxfId="1"/>
    <tableColumn id="10" xr3:uid="{56C183A2-C81D-4BCA-A1AA-8FF488475096}" name="Комментарий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8AF57-7F31-400A-BF83-9D8B5AFCEEA5}">
  <sheetPr codeName="Лист7">
    <pageSetUpPr fitToPage="1"/>
  </sheetPr>
  <dimension ref="A1:J196"/>
  <sheetViews>
    <sheetView tabSelected="1" topLeftCell="A7" zoomScale="85" zoomScaleNormal="85" workbookViewId="0">
      <pane ySplit="1" topLeftCell="A8" activePane="bottomLeft" state="frozen"/>
      <selection activeCell="A7" sqref="A7"/>
      <selection pane="bottomLeft" activeCell="E14" sqref="E14"/>
    </sheetView>
  </sheetViews>
  <sheetFormatPr defaultRowHeight="15" x14ac:dyDescent="0.25"/>
  <cols>
    <col min="1" max="1" width="37.5703125" style="6" customWidth="1"/>
    <col min="2" max="2" width="18.140625" style="6" customWidth="1"/>
    <col min="3" max="3" width="19.85546875" style="6" customWidth="1"/>
    <col min="4" max="4" width="11.5703125" style="6" customWidth="1"/>
    <col min="5" max="5" width="8.85546875" style="6" customWidth="1"/>
    <col min="6" max="6" width="9.140625" style="6" customWidth="1"/>
    <col min="7" max="7" width="8.5703125" style="6" customWidth="1"/>
    <col min="8" max="8" width="12.42578125" style="7" customWidth="1"/>
    <col min="9" max="9" width="5.7109375" style="1" customWidth="1"/>
    <col min="10" max="10" width="34.28515625" style="6" customWidth="1"/>
    <col min="11" max="11" width="39.42578125" style="6" customWidth="1"/>
    <col min="12" max="13" width="32.5703125" style="6" customWidth="1"/>
    <col min="14" max="14" width="9.140625" style="6" customWidth="1"/>
    <col min="15" max="16384" width="9.140625" style="6"/>
  </cols>
  <sheetData>
    <row r="1" spans="1:10" ht="24" customHeight="1" x14ac:dyDescent="0.25">
      <c r="A1" s="18"/>
      <c r="B1" s="18"/>
      <c r="C1" s="18"/>
      <c r="D1" s="18"/>
      <c r="E1" s="18"/>
      <c r="F1" s="18"/>
      <c r="G1" s="18"/>
      <c r="H1" s="19"/>
      <c r="I1" s="19"/>
      <c r="J1" s="18"/>
    </row>
    <row r="2" spans="1:10" x14ac:dyDescent="0.25">
      <c r="A2" s="8" t="s">
        <v>5</v>
      </c>
      <c r="B2" s="20" t="s">
        <v>8</v>
      </c>
      <c r="C2" s="18"/>
      <c r="D2" s="18"/>
      <c r="E2" s="18"/>
      <c r="F2" s="18"/>
      <c r="G2" s="18"/>
      <c r="H2" s="19"/>
      <c r="I2" s="19"/>
      <c r="J2" s="18"/>
    </row>
    <row r="3" spans="1:10" ht="15" customHeight="1" x14ac:dyDescent="0.25">
      <c r="A3" s="8" t="s">
        <v>6</v>
      </c>
      <c r="B3" s="21" t="s">
        <v>15</v>
      </c>
      <c r="C3" s="18"/>
      <c r="D3" s="18"/>
      <c r="E3" s="18"/>
      <c r="F3" s="18"/>
      <c r="G3" s="18"/>
      <c r="H3" s="4"/>
      <c r="I3" s="3"/>
      <c r="J3" s="2"/>
    </row>
    <row r="4" spans="1:10" ht="15" customHeight="1" x14ac:dyDescent="0.25">
      <c r="A4" s="8" t="s">
        <v>7</v>
      </c>
      <c r="B4" s="22"/>
      <c r="C4" s="18"/>
      <c r="D4" s="18"/>
      <c r="E4" s="18"/>
      <c r="F4" s="18"/>
      <c r="G4" s="18"/>
      <c r="H4" s="4"/>
      <c r="I4" s="3"/>
      <c r="J4" s="2"/>
    </row>
    <row r="5" spans="1:10" x14ac:dyDescent="0.25">
      <c r="B5" s="18"/>
      <c r="C5" s="18"/>
      <c r="D5" s="18"/>
      <c r="E5" s="18"/>
      <c r="F5" s="18"/>
      <c r="G5" s="18"/>
      <c r="H5" s="19"/>
      <c r="I5" s="19"/>
      <c r="J5" s="18"/>
    </row>
    <row r="6" spans="1:10" ht="13.5" customHeight="1" x14ac:dyDescent="0.25">
      <c r="B6" s="18"/>
      <c r="C6" s="18"/>
      <c r="D6" s="18"/>
      <c r="E6" s="18"/>
      <c r="F6" s="18"/>
      <c r="G6" s="18"/>
      <c r="H6" s="19"/>
      <c r="I6" s="19"/>
      <c r="J6" s="18"/>
    </row>
    <row r="7" spans="1:10" ht="51" x14ac:dyDescent="0.25">
      <c r="A7" s="9" t="s">
        <v>0</v>
      </c>
      <c r="B7" s="9" t="s">
        <v>1</v>
      </c>
      <c r="C7" s="9" t="s">
        <v>2</v>
      </c>
      <c r="D7" s="9" t="s">
        <v>3</v>
      </c>
      <c r="E7" s="9" t="s">
        <v>4</v>
      </c>
      <c r="F7" s="9" t="s">
        <v>10</v>
      </c>
      <c r="G7" s="10" t="s">
        <v>11</v>
      </c>
      <c r="H7" s="11" t="s">
        <v>12</v>
      </c>
      <c r="I7" s="11" t="s">
        <v>13</v>
      </c>
      <c r="J7" s="12" t="s">
        <v>9</v>
      </c>
    </row>
    <row r="8" spans="1:10" s="5" customFormat="1" x14ac:dyDescent="0.25">
      <c r="A8" s="13" t="s">
        <v>16</v>
      </c>
      <c r="B8" s="13" t="s">
        <v>17</v>
      </c>
      <c r="C8" s="13" t="s">
        <v>18</v>
      </c>
      <c r="D8" s="13" t="s">
        <v>14</v>
      </c>
      <c r="E8" s="13">
        <v>0</v>
      </c>
      <c r="F8" s="14"/>
      <c r="G8" s="15">
        <f t="shared" ref="G8" si="0">F8-E8</f>
        <v>0</v>
      </c>
      <c r="H8" s="16" t="b">
        <f t="shared" ref="H8" si="1">IF(AND(E8&gt;0,F8&gt;0),(F8/E8)-1,IF(AND(E8=0,F8&gt;0),1-(E8/F8),IF(AND(E8&gt;0,F8=0),(F8/E8)-1)))</f>
        <v>0</v>
      </c>
      <c r="I8" s="17"/>
      <c r="J8" s="15"/>
    </row>
    <row r="9" spans="1:10" x14ac:dyDescent="0.25">
      <c r="A9" s="23" t="s">
        <v>19</v>
      </c>
      <c r="B9" s="23" t="s">
        <v>20</v>
      </c>
      <c r="C9" s="23" t="s">
        <v>21</v>
      </c>
      <c r="D9" s="23" t="s">
        <v>22</v>
      </c>
      <c r="E9" s="23">
        <v>97.1</v>
      </c>
      <c r="F9" s="24"/>
      <c r="G9" s="25">
        <f t="shared" ref="G9:G40" si="2">F9-E9</f>
        <v>-97.1</v>
      </c>
      <c r="H9" s="26">
        <f t="shared" ref="H9:H40" si="3">IF(AND(E9&gt;0,F9&gt;0),(F9/E9)-1,IF(AND(E9=0,F9&gt;0),1-(E9/F9),IF(AND(E9&gt;0,F9=0),(F9/E9)-1)))</f>
        <v>-1</v>
      </c>
      <c r="I9" s="27"/>
      <c r="J9" s="25"/>
    </row>
    <row r="10" spans="1:10" x14ac:dyDescent="0.25">
      <c r="A10" s="23" t="s">
        <v>23</v>
      </c>
      <c r="B10" s="23" t="s">
        <v>24</v>
      </c>
      <c r="C10" s="23" t="s">
        <v>25</v>
      </c>
      <c r="D10" s="23" t="s">
        <v>26</v>
      </c>
      <c r="E10" s="23">
        <v>163.5</v>
      </c>
      <c r="F10" s="24"/>
      <c r="G10" s="25">
        <f t="shared" si="2"/>
        <v>-163.5</v>
      </c>
      <c r="H10" s="26">
        <f t="shared" si="3"/>
        <v>-1</v>
      </c>
      <c r="I10" s="27"/>
      <c r="J10" s="25"/>
    </row>
    <row r="11" spans="1:10" x14ac:dyDescent="0.25">
      <c r="A11" s="23" t="s">
        <v>27</v>
      </c>
      <c r="B11" s="23" t="s">
        <v>28</v>
      </c>
      <c r="C11" s="23" t="s">
        <v>29</v>
      </c>
      <c r="D11" s="23" t="s">
        <v>22</v>
      </c>
      <c r="E11" s="23">
        <v>155.5</v>
      </c>
      <c r="F11" s="24"/>
      <c r="G11" s="25">
        <f t="shared" si="2"/>
        <v>-155.5</v>
      </c>
      <c r="H11" s="26">
        <f t="shared" si="3"/>
        <v>-1</v>
      </c>
      <c r="I11" s="27"/>
      <c r="J11" s="25"/>
    </row>
    <row r="12" spans="1:10" x14ac:dyDescent="0.25">
      <c r="A12" s="23" t="s">
        <v>23</v>
      </c>
      <c r="B12" s="23" t="s">
        <v>30</v>
      </c>
      <c r="C12" s="23" t="s">
        <v>31</v>
      </c>
      <c r="D12" s="23" t="s">
        <v>14</v>
      </c>
      <c r="E12" s="23">
        <v>175.9</v>
      </c>
      <c r="F12" s="24"/>
      <c r="G12" s="25">
        <f t="shared" si="2"/>
        <v>-175.9</v>
      </c>
      <c r="H12" s="26">
        <f t="shared" si="3"/>
        <v>-1</v>
      </c>
      <c r="I12" s="27"/>
      <c r="J12" s="25"/>
    </row>
    <row r="13" spans="1:10" x14ac:dyDescent="0.25">
      <c r="A13" s="23" t="s">
        <v>23</v>
      </c>
      <c r="B13" s="23" t="s">
        <v>32</v>
      </c>
      <c r="C13" s="23" t="s">
        <v>33</v>
      </c>
      <c r="D13" s="23" t="s">
        <v>14</v>
      </c>
      <c r="E13" s="23">
        <v>138</v>
      </c>
      <c r="F13" s="24"/>
      <c r="G13" s="25">
        <f t="shared" si="2"/>
        <v>-138</v>
      </c>
      <c r="H13" s="26">
        <f t="shared" si="3"/>
        <v>-1</v>
      </c>
      <c r="I13" s="27"/>
      <c r="J13" s="25"/>
    </row>
    <row r="14" spans="1:10" x14ac:dyDescent="0.25">
      <c r="A14" s="23" t="s">
        <v>23</v>
      </c>
      <c r="B14" s="23" t="s">
        <v>34</v>
      </c>
      <c r="C14" s="23" t="s">
        <v>35</v>
      </c>
      <c r="D14" s="23" t="s">
        <v>14</v>
      </c>
      <c r="E14" s="23">
        <v>89.1</v>
      </c>
      <c r="F14" s="24"/>
      <c r="G14" s="25">
        <f t="shared" si="2"/>
        <v>-89.1</v>
      </c>
      <c r="H14" s="26">
        <f t="shared" si="3"/>
        <v>-1</v>
      </c>
      <c r="I14" s="27"/>
      <c r="J14" s="25"/>
    </row>
    <row r="15" spans="1:10" x14ac:dyDescent="0.25">
      <c r="A15" s="23" t="s">
        <v>23</v>
      </c>
      <c r="B15" s="23" t="s">
        <v>35</v>
      </c>
      <c r="C15" s="23" t="s">
        <v>36</v>
      </c>
      <c r="D15" s="23" t="s">
        <v>26</v>
      </c>
      <c r="E15" s="23">
        <v>384.6</v>
      </c>
      <c r="F15" s="24"/>
      <c r="G15" s="25">
        <f t="shared" si="2"/>
        <v>-384.6</v>
      </c>
      <c r="H15" s="26">
        <f t="shared" si="3"/>
        <v>-1</v>
      </c>
      <c r="I15" s="27"/>
      <c r="J15" s="25"/>
    </row>
    <row r="16" spans="1:10" x14ac:dyDescent="0.25">
      <c r="A16" s="23" t="s">
        <v>23</v>
      </c>
      <c r="B16" s="23" t="s">
        <v>36</v>
      </c>
      <c r="C16" s="23" t="s">
        <v>37</v>
      </c>
      <c r="D16" s="23" t="s">
        <v>26</v>
      </c>
      <c r="E16" s="23">
        <v>772.9</v>
      </c>
      <c r="F16" s="24"/>
      <c r="G16" s="25">
        <f t="shared" si="2"/>
        <v>-772.9</v>
      </c>
      <c r="H16" s="26">
        <f t="shared" si="3"/>
        <v>-1</v>
      </c>
      <c r="I16" s="27"/>
      <c r="J16" s="25"/>
    </row>
    <row r="17" spans="1:10" x14ac:dyDescent="0.25">
      <c r="A17" s="23" t="s">
        <v>38</v>
      </c>
      <c r="B17" s="23" t="s">
        <v>39</v>
      </c>
      <c r="C17" s="23" t="s">
        <v>40</v>
      </c>
      <c r="D17" s="23" t="s">
        <v>22</v>
      </c>
      <c r="E17" s="23">
        <v>478.2</v>
      </c>
      <c r="F17" s="24"/>
      <c r="G17" s="25">
        <f t="shared" si="2"/>
        <v>-478.2</v>
      </c>
      <c r="H17" s="26">
        <f t="shared" si="3"/>
        <v>-1</v>
      </c>
      <c r="I17" s="27"/>
      <c r="J17" s="25"/>
    </row>
    <row r="18" spans="1:10" x14ac:dyDescent="0.25">
      <c r="A18" s="23" t="s">
        <v>41</v>
      </c>
      <c r="B18" s="23" t="s">
        <v>42</v>
      </c>
      <c r="C18" s="23" t="s">
        <v>43</v>
      </c>
      <c r="D18" s="23" t="s">
        <v>22</v>
      </c>
      <c r="E18" s="23">
        <v>89.5</v>
      </c>
      <c r="F18" s="24"/>
      <c r="G18" s="25">
        <f t="shared" si="2"/>
        <v>-89.5</v>
      </c>
      <c r="H18" s="26">
        <f t="shared" si="3"/>
        <v>-1</v>
      </c>
      <c r="I18" s="27"/>
      <c r="J18" s="25"/>
    </row>
    <row r="19" spans="1:10" x14ac:dyDescent="0.25">
      <c r="A19" s="23" t="s">
        <v>23</v>
      </c>
      <c r="B19" s="23" t="s">
        <v>44</v>
      </c>
      <c r="C19" s="23" t="s">
        <v>45</v>
      </c>
      <c r="D19" s="23" t="s">
        <v>14</v>
      </c>
      <c r="E19" s="23">
        <v>131.80000000000001</v>
      </c>
      <c r="F19" s="24"/>
      <c r="G19" s="25">
        <f t="shared" si="2"/>
        <v>-131.80000000000001</v>
      </c>
      <c r="H19" s="26">
        <f t="shared" si="3"/>
        <v>-1</v>
      </c>
      <c r="I19" s="27"/>
      <c r="J19" s="25"/>
    </row>
    <row r="20" spans="1:10" x14ac:dyDescent="0.25">
      <c r="A20" s="23" t="s">
        <v>46</v>
      </c>
      <c r="B20" s="23" t="s">
        <v>47</v>
      </c>
      <c r="C20" s="23" t="s">
        <v>48</v>
      </c>
      <c r="D20" s="23" t="s">
        <v>22</v>
      </c>
      <c r="E20" s="23">
        <v>150.6</v>
      </c>
      <c r="F20" s="24"/>
      <c r="G20" s="25">
        <f t="shared" si="2"/>
        <v>-150.6</v>
      </c>
      <c r="H20" s="26">
        <f t="shared" si="3"/>
        <v>-1</v>
      </c>
      <c r="I20" s="27"/>
      <c r="J20" s="25"/>
    </row>
    <row r="21" spans="1:10" x14ac:dyDescent="0.25">
      <c r="A21" s="23" t="s">
        <v>49</v>
      </c>
      <c r="B21" s="23" t="s">
        <v>50</v>
      </c>
      <c r="C21" s="23" t="s">
        <v>51</v>
      </c>
      <c r="D21" s="23" t="s">
        <v>22</v>
      </c>
      <c r="E21" s="23">
        <v>454.5</v>
      </c>
      <c r="F21" s="24"/>
      <c r="G21" s="25">
        <f t="shared" si="2"/>
        <v>-454.5</v>
      </c>
      <c r="H21" s="26">
        <f t="shared" si="3"/>
        <v>-1</v>
      </c>
      <c r="I21" s="27"/>
      <c r="J21" s="25"/>
    </row>
    <row r="22" spans="1:10" x14ac:dyDescent="0.25">
      <c r="A22" s="23" t="s">
        <v>23</v>
      </c>
      <c r="B22" s="23" t="s">
        <v>52</v>
      </c>
      <c r="C22" s="23" t="s">
        <v>53</v>
      </c>
      <c r="D22" s="23" t="s">
        <v>26</v>
      </c>
      <c r="E22" s="23">
        <v>663</v>
      </c>
      <c r="F22" s="24"/>
      <c r="G22" s="25">
        <f t="shared" si="2"/>
        <v>-663</v>
      </c>
      <c r="H22" s="26">
        <f t="shared" si="3"/>
        <v>-1</v>
      </c>
      <c r="I22" s="27"/>
      <c r="J22" s="25"/>
    </row>
    <row r="23" spans="1:10" x14ac:dyDescent="0.25">
      <c r="A23" s="23" t="s">
        <v>23</v>
      </c>
      <c r="B23" s="23" t="s">
        <v>54</v>
      </c>
      <c r="C23" s="23" t="s">
        <v>55</v>
      </c>
      <c r="D23" s="23" t="s">
        <v>26</v>
      </c>
      <c r="E23" s="23">
        <v>57.4</v>
      </c>
      <c r="F23" s="24"/>
      <c r="G23" s="25">
        <f t="shared" si="2"/>
        <v>-57.4</v>
      </c>
      <c r="H23" s="26">
        <f t="shared" si="3"/>
        <v>-1</v>
      </c>
      <c r="I23" s="27"/>
      <c r="J23" s="25"/>
    </row>
    <row r="24" spans="1:10" x14ac:dyDescent="0.25">
      <c r="A24" s="23" t="s">
        <v>56</v>
      </c>
      <c r="B24" s="23" t="s">
        <v>57</v>
      </c>
      <c r="C24" s="23" t="s">
        <v>58</v>
      </c>
      <c r="D24" s="23" t="s">
        <v>22</v>
      </c>
      <c r="E24" s="23">
        <v>182.6</v>
      </c>
      <c r="F24" s="24"/>
      <c r="G24" s="25">
        <f t="shared" si="2"/>
        <v>-182.6</v>
      </c>
      <c r="H24" s="26">
        <f t="shared" si="3"/>
        <v>-1</v>
      </c>
      <c r="I24" s="27"/>
      <c r="J24" s="25"/>
    </row>
    <row r="25" spans="1:10" x14ac:dyDescent="0.25">
      <c r="A25" s="23" t="s">
        <v>23</v>
      </c>
      <c r="B25" s="23" t="s">
        <v>59</v>
      </c>
      <c r="C25" s="23" t="s">
        <v>60</v>
      </c>
      <c r="D25" s="23" t="s">
        <v>26</v>
      </c>
      <c r="E25" s="23">
        <v>81.900000000000006</v>
      </c>
      <c r="F25" s="24"/>
      <c r="G25" s="25">
        <f t="shared" si="2"/>
        <v>-81.900000000000006</v>
      </c>
      <c r="H25" s="26">
        <f t="shared" si="3"/>
        <v>-1</v>
      </c>
      <c r="I25" s="27"/>
      <c r="J25" s="25"/>
    </row>
    <row r="26" spans="1:10" x14ac:dyDescent="0.25">
      <c r="A26" s="23" t="s">
        <v>23</v>
      </c>
      <c r="B26" s="23" t="s">
        <v>61</v>
      </c>
      <c r="C26" s="23" t="s">
        <v>62</v>
      </c>
      <c r="D26" s="23" t="s">
        <v>26</v>
      </c>
      <c r="E26" s="23">
        <v>118.5</v>
      </c>
      <c r="F26" s="24"/>
      <c r="G26" s="25">
        <f t="shared" si="2"/>
        <v>-118.5</v>
      </c>
      <c r="H26" s="26">
        <f t="shared" si="3"/>
        <v>-1</v>
      </c>
      <c r="I26" s="27"/>
      <c r="J26" s="25"/>
    </row>
    <row r="27" spans="1:10" x14ac:dyDescent="0.25">
      <c r="A27" s="23" t="s">
        <v>23</v>
      </c>
      <c r="B27" s="23" t="s">
        <v>63</v>
      </c>
      <c r="C27" s="23" t="s">
        <v>64</v>
      </c>
      <c r="D27" s="23" t="s">
        <v>26</v>
      </c>
      <c r="E27" s="23">
        <v>214.9</v>
      </c>
      <c r="F27" s="24"/>
      <c r="G27" s="25">
        <f t="shared" si="2"/>
        <v>-214.9</v>
      </c>
      <c r="H27" s="26">
        <f t="shared" si="3"/>
        <v>-1</v>
      </c>
      <c r="I27" s="27"/>
      <c r="J27" s="25"/>
    </row>
    <row r="28" spans="1:10" x14ac:dyDescent="0.25">
      <c r="A28" s="23" t="s">
        <v>23</v>
      </c>
      <c r="B28" s="23" t="s">
        <v>65</v>
      </c>
      <c r="C28" s="23" t="s">
        <v>66</v>
      </c>
      <c r="D28" s="23" t="s">
        <v>26</v>
      </c>
      <c r="E28" s="23">
        <v>45.2</v>
      </c>
      <c r="F28" s="24"/>
      <c r="G28" s="25">
        <f t="shared" si="2"/>
        <v>-45.2</v>
      </c>
      <c r="H28" s="26">
        <f t="shared" si="3"/>
        <v>-1</v>
      </c>
      <c r="I28" s="27"/>
      <c r="J28" s="25"/>
    </row>
    <row r="29" spans="1:10" x14ac:dyDescent="0.25">
      <c r="A29" s="23" t="s">
        <v>23</v>
      </c>
      <c r="B29" s="23" t="s">
        <v>67</v>
      </c>
      <c r="C29" s="23" t="s">
        <v>68</v>
      </c>
      <c r="D29" s="23" t="s">
        <v>26</v>
      </c>
      <c r="E29" s="23">
        <v>409.1</v>
      </c>
      <c r="F29" s="24"/>
      <c r="G29" s="25">
        <f t="shared" si="2"/>
        <v>-409.1</v>
      </c>
      <c r="H29" s="26">
        <f t="shared" si="3"/>
        <v>-1</v>
      </c>
      <c r="I29" s="27"/>
      <c r="J29" s="25"/>
    </row>
    <row r="30" spans="1:10" x14ac:dyDescent="0.25">
      <c r="A30" s="23" t="s">
        <v>69</v>
      </c>
      <c r="B30" s="23" t="s">
        <v>70</v>
      </c>
      <c r="C30" s="23" t="s">
        <v>71</v>
      </c>
      <c r="D30" s="23" t="s">
        <v>14</v>
      </c>
      <c r="E30" s="23">
        <v>23.6</v>
      </c>
      <c r="F30" s="24"/>
      <c r="G30" s="25">
        <f t="shared" si="2"/>
        <v>-23.6</v>
      </c>
      <c r="H30" s="26">
        <f t="shared" si="3"/>
        <v>-1</v>
      </c>
      <c r="I30" s="27"/>
      <c r="J30" s="25"/>
    </row>
    <row r="31" spans="1:10" x14ac:dyDescent="0.25">
      <c r="A31" s="23" t="s">
        <v>72</v>
      </c>
      <c r="B31" s="23" t="s">
        <v>73</v>
      </c>
      <c r="C31" s="23" t="s">
        <v>74</v>
      </c>
      <c r="D31" s="23" t="s">
        <v>22</v>
      </c>
      <c r="E31" s="23">
        <v>57</v>
      </c>
      <c r="F31" s="24"/>
      <c r="G31" s="25">
        <f t="shared" si="2"/>
        <v>-57</v>
      </c>
      <c r="H31" s="26">
        <f t="shared" si="3"/>
        <v>-1</v>
      </c>
      <c r="I31" s="27"/>
      <c r="J31" s="25"/>
    </row>
    <row r="32" spans="1:10" x14ac:dyDescent="0.25">
      <c r="A32" s="23" t="s">
        <v>75</v>
      </c>
      <c r="B32" s="23" t="s">
        <v>76</v>
      </c>
      <c r="C32" s="23" t="s">
        <v>77</v>
      </c>
      <c r="D32" s="23" t="s">
        <v>22</v>
      </c>
      <c r="E32" s="23">
        <v>122</v>
      </c>
      <c r="F32" s="24"/>
      <c r="G32" s="25">
        <f t="shared" si="2"/>
        <v>-122</v>
      </c>
      <c r="H32" s="26">
        <f t="shared" si="3"/>
        <v>-1</v>
      </c>
      <c r="I32" s="27"/>
      <c r="J32" s="25"/>
    </row>
    <row r="33" spans="1:10" x14ac:dyDescent="0.25">
      <c r="A33" s="23" t="s">
        <v>78</v>
      </c>
      <c r="B33" s="23" t="s">
        <v>79</v>
      </c>
      <c r="C33" s="23" t="s">
        <v>80</v>
      </c>
      <c r="D33" s="23" t="s">
        <v>22</v>
      </c>
      <c r="E33" s="23">
        <v>38.700000000000003</v>
      </c>
      <c r="F33" s="24"/>
      <c r="G33" s="25">
        <f t="shared" si="2"/>
        <v>-38.700000000000003</v>
      </c>
      <c r="H33" s="26">
        <f t="shared" si="3"/>
        <v>-1</v>
      </c>
      <c r="I33" s="27"/>
      <c r="J33" s="25"/>
    </row>
    <row r="34" spans="1:10" x14ac:dyDescent="0.25">
      <c r="A34" s="23" t="s">
        <v>81</v>
      </c>
      <c r="B34" s="23" t="s">
        <v>82</v>
      </c>
      <c r="C34" s="23" t="s">
        <v>83</v>
      </c>
      <c r="D34" s="23" t="s">
        <v>22</v>
      </c>
      <c r="E34" s="23">
        <v>45.8</v>
      </c>
      <c r="F34" s="24"/>
      <c r="G34" s="25">
        <f t="shared" si="2"/>
        <v>-45.8</v>
      </c>
      <c r="H34" s="26">
        <f t="shared" si="3"/>
        <v>-1</v>
      </c>
      <c r="I34" s="27"/>
      <c r="J34" s="25"/>
    </row>
    <row r="35" spans="1:10" x14ac:dyDescent="0.25">
      <c r="A35" s="23" t="s">
        <v>84</v>
      </c>
      <c r="B35" s="23" t="s">
        <v>85</v>
      </c>
      <c r="C35" s="23" t="s">
        <v>86</v>
      </c>
      <c r="D35" s="23" t="s">
        <v>22</v>
      </c>
      <c r="E35" s="23">
        <v>120.6</v>
      </c>
      <c r="F35" s="24"/>
      <c r="G35" s="25">
        <f t="shared" si="2"/>
        <v>-120.6</v>
      </c>
      <c r="H35" s="26">
        <f t="shared" si="3"/>
        <v>-1</v>
      </c>
      <c r="I35" s="27"/>
      <c r="J35" s="25"/>
    </row>
    <row r="36" spans="1:10" x14ac:dyDescent="0.25">
      <c r="A36" s="23" t="s">
        <v>87</v>
      </c>
      <c r="B36" s="23" t="s">
        <v>88</v>
      </c>
      <c r="C36" s="23" t="s">
        <v>89</v>
      </c>
      <c r="D36" s="23" t="s">
        <v>22</v>
      </c>
      <c r="E36" s="23">
        <v>127.7</v>
      </c>
      <c r="F36" s="24"/>
      <c r="G36" s="25">
        <f t="shared" si="2"/>
        <v>-127.7</v>
      </c>
      <c r="H36" s="26">
        <f t="shared" si="3"/>
        <v>-1</v>
      </c>
      <c r="I36" s="27"/>
      <c r="J36" s="25"/>
    </row>
    <row r="37" spans="1:10" x14ac:dyDescent="0.25">
      <c r="A37" s="23" t="s">
        <v>90</v>
      </c>
      <c r="B37" s="23" t="s">
        <v>91</v>
      </c>
      <c r="C37" s="23" t="s">
        <v>92</v>
      </c>
      <c r="D37" s="23" t="s">
        <v>22</v>
      </c>
      <c r="E37" s="23">
        <v>97.8</v>
      </c>
      <c r="F37" s="24"/>
      <c r="G37" s="25">
        <f t="shared" si="2"/>
        <v>-97.8</v>
      </c>
      <c r="H37" s="26">
        <f t="shared" si="3"/>
        <v>-1</v>
      </c>
      <c r="I37" s="27"/>
      <c r="J37" s="25"/>
    </row>
    <row r="38" spans="1:10" x14ac:dyDescent="0.25">
      <c r="A38" s="23" t="s">
        <v>93</v>
      </c>
      <c r="B38" s="23" t="s">
        <v>94</v>
      </c>
      <c r="C38" s="23" t="s">
        <v>95</v>
      </c>
      <c r="D38" s="23" t="s">
        <v>22</v>
      </c>
      <c r="E38" s="23">
        <v>115.2</v>
      </c>
      <c r="F38" s="24"/>
      <c r="G38" s="25">
        <f t="shared" si="2"/>
        <v>-115.2</v>
      </c>
      <c r="H38" s="26">
        <f t="shared" si="3"/>
        <v>-1</v>
      </c>
      <c r="I38" s="27"/>
      <c r="J38" s="25"/>
    </row>
    <row r="39" spans="1:10" x14ac:dyDescent="0.25">
      <c r="A39" s="23" t="s">
        <v>96</v>
      </c>
      <c r="B39" s="23" t="s">
        <v>97</v>
      </c>
      <c r="C39" s="23" t="s">
        <v>98</v>
      </c>
      <c r="D39" s="23" t="s">
        <v>22</v>
      </c>
      <c r="E39" s="23">
        <v>209.3</v>
      </c>
      <c r="F39" s="24"/>
      <c r="G39" s="25">
        <f t="shared" si="2"/>
        <v>-209.3</v>
      </c>
      <c r="H39" s="26">
        <f t="shared" si="3"/>
        <v>-1</v>
      </c>
      <c r="I39" s="27"/>
      <c r="J39" s="25"/>
    </row>
    <row r="40" spans="1:10" x14ac:dyDescent="0.25">
      <c r="A40" s="23" t="s">
        <v>99</v>
      </c>
      <c r="B40" s="23" t="s">
        <v>100</v>
      </c>
      <c r="C40" s="23" t="s">
        <v>101</v>
      </c>
      <c r="D40" s="23" t="s">
        <v>22</v>
      </c>
      <c r="E40" s="23">
        <v>129.1</v>
      </c>
      <c r="F40" s="24"/>
      <c r="G40" s="25">
        <f t="shared" si="2"/>
        <v>-129.1</v>
      </c>
      <c r="H40" s="26">
        <f t="shared" si="3"/>
        <v>-1</v>
      </c>
      <c r="I40" s="27"/>
      <c r="J40" s="25"/>
    </row>
    <row r="41" spans="1:10" x14ac:dyDescent="0.25">
      <c r="A41" s="23" t="s">
        <v>102</v>
      </c>
      <c r="B41" s="23" t="s">
        <v>103</v>
      </c>
      <c r="C41" s="23" t="s">
        <v>104</v>
      </c>
      <c r="D41" s="23" t="s">
        <v>22</v>
      </c>
      <c r="E41" s="23">
        <v>145</v>
      </c>
      <c r="F41" s="24"/>
      <c r="G41" s="25">
        <f t="shared" ref="G41:G72" si="4">F41-E41</f>
        <v>-145</v>
      </c>
      <c r="H41" s="26">
        <f t="shared" ref="H41:H72" si="5">IF(AND(E41&gt;0,F41&gt;0),(F41/E41)-1,IF(AND(E41=0,F41&gt;0),1-(E41/F41),IF(AND(E41&gt;0,F41=0),(F41/E41)-1)))</f>
        <v>-1</v>
      </c>
      <c r="I41" s="27"/>
      <c r="J41" s="25"/>
    </row>
    <row r="42" spans="1:10" x14ac:dyDescent="0.25">
      <c r="A42" s="23" t="s">
        <v>105</v>
      </c>
      <c r="B42" s="23" t="s">
        <v>106</v>
      </c>
      <c r="C42" s="23" t="s">
        <v>107</v>
      </c>
      <c r="D42" s="23" t="s">
        <v>22</v>
      </c>
      <c r="E42" s="23">
        <v>52.6</v>
      </c>
      <c r="F42" s="24"/>
      <c r="G42" s="25">
        <f t="shared" si="4"/>
        <v>-52.6</v>
      </c>
      <c r="H42" s="26">
        <f t="shared" si="5"/>
        <v>-1</v>
      </c>
      <c r="I42" s="27"/>
      <c r="J42" s="25"/>
    </row>
    <row r="43" spans="1:10" x14ac:dyDescent="0.25">
      <c r="A43" s="23" t="s">
        <v>23</v>
      </c>
      <c r="B43" s="23" t="s">
        <v>108</v>
      </c>
      <c r="C43" s="23" t="s">
        <v>109</v>
      </c>
      <c r="D43" s="23" t="s">
        <v>14</v>
      </c>
      <c r="E43" s="23">
        <v>318.7</v>
      </c>
      <c r="F43" s="24"/>
      <c r="G43" s="25">
        <f t="shared" si="4"/>
        <v>-318.7</v>
      </c>
      <c r="H43" s="26">
        <f t="shared" si="5"/>
        <v>-1</v>
      </c>
      <c r="I43" s="27"/>
      <c r="J43" s="25"/>
    </row>
    <row r="44" spans="1:10" x14ac:dyDescent="0.25">
      <c r="A44" s="23" t="s">
        <v>41</v>
      </c>
      <c r="B44" s="23" t="s">
        <v>110</v>
      </c>
      <c r="C44" s="23" t="s">
        <v>111</v>
      </c>
      <c r="D44" s="23" t="s">
        <v>22</v>
      </c>
      <c r="E44" s="23">
        <v>14.3</v>
      </c>
      <c r="F44" s="24"/>
      <c r="G44" s="25">
        <f t="shared" si="4"/>
        <v>-14.3</v>
      </c>
      <c r="H44" s="26">
        <f t="shared" si="5"/>
        <v>-1</v>
      </c>
      <c r="I44" s="27"/>
      <c r="J44" s="25"/>
    </row>
    <row r="45" spans="1:10" x14ac:dyDescent="0.25">
      <c r="A45" s="23" t="s">
        <v>112</v>
      </c>
      <c r="B45" s="23" t="s">
        <v>113</v>
      </c>
      <c r="C45" s="23" t="s">
        <v>114</v>
      </c>
      <c r="D45" s="23" t="s">
        <v>22</v>
      </c>
      <c r="E45" s="23">
        <v>35.5</v>
      </c>
      <c r="F45" s="24"/>
      <c r="G45" s="25">
        <f t="shared" si="4"/>
        <v>-35.5</v>
      </c>
      <c r="H45" s="26">
        <f t="shared" si="5"/>
        <v>-1</v>
      </c>
      <c r="I45" s="27"/>
      <c r="J45" s="25"/>
    </row>
    <row r="46" spans="1:10" x14ac:dyDescent="0.25">
      <c r="A46" s="23" t="s">
        <v>115</v>
      </c>
      <c r="B46" s="23" t="s">
        <v>116</v>
      </c>
      <c r="C46" s="23" t="s">
        <v>117</v>
      </c>
      <c r="D46" s="23" t="s">
        <v>22</v>
      </c>
      <c r="E46" s="23">
        <v>53</v>
      </c>
      <c r="F46" s="24"/>
      <c r="G46" s="25">
        <f t="shared" si="4"/>
        <v>-53</v>
      </c>
      <c r="H46" s="26">
        <f t="shared" si="5"/>
        <v>-1</v>
      </c>
      <c r="I46" s="27"/>
      <c r="J46" s="25"/>
    </row>
    <row r="47" spans="1:10" x14ac:dyDescent="0.25">
      <c r="A47" s="23" t="s">
        <v>23</v>
      </c>
      <c r="B47" s="23" t="s">
        <v>109</v>
      </c>
      <c r="C47" s="23" t="s">
        <v>118</v>
      </c>
      <c r="D47" s="23" t="s">
        <v>14</v>
      </c>
      <c r="E47" s="23">
        <v>415.6</v>
      </c>
      <c r="F47" s="24"/>
      <c r="G47" s="25">
        <f t="shared" si="4"/>
        <v>-415.6</v>
      </c>
      <c r="H47" s="26">
        <f t="shared" si="5"/>
        <v>-1</v>
      </c>
      <c r="I47" s="27"/>
      <c r="J47" s="25"/>
    </row>
    <row r="48" spans="1:10" x14ac:dyDescent="0.25">
      <c r="A48" s="23" t="s">
        <v>119</v>
      </c>
      <c r="B48" s="23" t="s">
        <v>120</v>
      </c>
      <c r="C48" s="23" t="s">
        <v>121</v>
      </c>
      <c r="D48" s="23" t="s">
        <v>22</v>
      </c>
      <c r="E48" s="23">
        <v>127.2</v>
      </c>
      <c r="F48" s="24"/>
      <c r="G48" s="25">
        <f t="shared" si="4"/>
        <v>-127.2</v>
      </c>
      <c r="H48" s="26">
        <f t="shared" si="5"/>
        <v>-1</v>
      </c>
      <c r="I48" s="27"/>
      <c r="J48" s="25"/>
    </row>
    <row r="49" spans="1:10" x14ac:dyDescent="0.25">
      <c r="A49" s="23" t="s">
        <v>122</v>
      </c>
      <c r="B49" s="23" t="s">
        <v>123</v>
      </c>
      <c r="C49" s="23" t="s">
        <v>124</v>
      </c>
      <c r="D49" s="23" t="s">
        <v>22</v>
      </c>
      <c r="E49" s="23">
        <v>143.4</v>
      </c>
      <c r="F49" s="24"/>
      <c r="G49" s="25">
        <f t="shared" si="4"/>
        <v>-143.4</v>
      </c>
      <c r="H49" s="26">
        <f t="shared" si="5"/>
        <v>-1</v>
      </c>
      <c r="I49" s="27"/>
      <c r="J49" s="25"/>
    </row>
    <row r="50" spans="1:10" x14ac:dyDescent="0.25">
      <c r="A50" s="23" t="s">
        <v>125</v>
      </c>
      <c r="B50" s="23" t="s">
        <v>126</v>
      </c>
      <c r="C50" s="23" t="s">
        <v>127</v>
      </c>
      <c r="D50" s="23" t="s">
        <v>22</v>
      </c>
      <c r="E50" s="23">
        <v>22.3</v>
      </c>
      <c r="F50" s="24"/>
      <c r="G50" s="25">
        <f t="shared" si="4"/>
        <v>-22.3</v>
      </c>
      <c r="H50" s="26">
        <f t="shared" si="5"/>
        <v>-1</v>
      </c>
      <c r="I50" s="27"/>
      <c r="J50" s="25"/>
    </row>
    <row r="51" spans="1:10" x14ac:dyDescent="0.25">
      <c r="A51" s="23" t="s">
        <v>128</v>
      </c>
      <c r="B51" s="23" t="s">
        <v>129</v>
      </c>
      <c r="C51" s="23" t="s">
        <v>130</v>
      </c>
      <c r="D51" s="23" t="s">
        <v>22</v>
      </c>
      <c r="E51" s="23">
        <v>120.1</v>
      </c>
      <c r="F51" s="24"/>
      <c r="G51" s="25">
        <f t="shared" si="4"/>
        <v>-120.1</v>
      </c>
      <c r="H51" s="26">
        <f t="shared" si="5"/>
        <v>-1</v>
      </c>
      <c r="I51" s="27"/>
      <c r="J51" s="25"/>
    </row>
    <row r="52" spans="1:10" x14ac:dyDescent="0.25">
      <c r="A52" s="23" t="s">
        <v>131</v>
      </c>
      <c r="B52" s="23" t="s">
        <v>132</v>
      </c>
      <c r="C52" s="23" t="s">
        <v>133</v>
      </c>
      <c r="D52" s="23" t="s">
        <v>22</v>
      </c>
      <c r="E52" s="23">
        <v>116</v>
      </c>
      <c r="F52" s="24"/>
      <c r="G52" s="25">
        <f t="shared" si="4"/>
        <v>-116</v>
      </c>
      <c r="H52" s="26">
        <f t="shared" si="5"/>
        <v>-1</v>
      </c>
      <c r="I52" s="27"/>
      <c r="J52" s="25"/>
    </row>
    <row r="53" spans="1:10" x14ac:dyDescent="0.25">
      <c r="A53" s="23" t="s">
        <v>134</v>
      </c>
      <c r="B53" s="23" t="s">
        <v>135</v>
      </c>
      <c r="C53" s="23" t="s">
        <v>136</v>
      </c>
      <c r="D53" s="23" t="s">
        <v>22</v>
      </c>
      <c r="E53" s="23">
        <v>368.4</v>
      </c>
      <c r="F53" s="24"/>
      <c r="G53" s="25">
        <f t="shared" si="4"/>
        <v>-368.4</v>
      </c>
      <c r="H53" s="26">
        <f t="shared" si="5"/>
        <v>-1</v>
      </c>
      <c r="I53" s="27"/>
      <c r="J53" s="25"/>
    </row>
    <row r="54" spans="1:10" x14ac:dyDescent="0.25">
      <c r="A54" s="23" t="s">
        <v>23</v>
      </c>
      <c r="B54" s="23" t="s">
        <v>137</v>
      </c>
      <c r="C54" s="23" t="s">
        <v>138</v>
      </c>
      <c r="D54" s="23" t="s">
        <v>26</v>
      </c>
      <c r="E54" s="23">
        <v>168.5</v>
      </c>
      <c r="F54" s="24"/>
      <c r="G54" s="25">
        <f t="shared" si="4"/>
        <v>-168.5</v>
      </c>
      <c r="H54" s="26">
        <f t="shared" si="5"/>
        <v>-1</v>
      </c>
      <c r="I54" s="27"/>
      <c r="J54" s="25"/>
    </row>
    <row r="55" spans="1:10" x14ac:dyDescent="0.25">
      <c r="A55" s="23" t="s">
        <v>139</v>
      </c>
      <c r="B55" s="23" t="s">
        <v>140</v>
      </c>
      <c r="C55" s="23" t="s">
        <v>141</v>
      </c>
      <c r="D55" s="23" t="s">
        <v>22</v>
      </c>
      <c r="E55" s="23">
        <v>73.2</v>
      </c>
      <c r="F55" s="24"/>
      <c r="G55" s="25">
        <f t="shared" si="4"/>
        <v>-73.2</v>
      </c>
      <c r="H55" s="26">
        <f t="shared" si="5"/>
        <v>-1</v>
      </c>
      <c r="I55" s="27"/>
      <c r="J55" s="25"/>
    </row>
    <row r="56" spans="1:10" x14ac:dyDescent="0.25">
      <c r="A56" s="23" t="s">
        <v>23</v>
      </c>
      <c r="B56" s="23" t="s">
        <v>142</v>
      </c>
      <c r="C56" s="23" t="s">
        <v>143</v>
      </c>
      <c r="D56" s="23" t="s">
        <v>26</v>
      </c>
      <c r="E56" s="23">
        <v>208.9</v>
      </c>
      <c r="F56" s="24"/>
      <c r="G56" s="25">
        <f t="shared" si="4"/>
        <v>-208.9</v>
      </c>
      <c r="H56" s="26">
        <f t="shared" si="5"/>
        <v>-1</v>
      </c>
      <c r="I56" s="27"/>
      <c r="J56" s="25"/>
    </row>
    <row r="57" spans="1:10" x14ac:dyDescent="0.25">
      <c r="A57" s="23" t="s">
        <v>99</v>
      </c>
      <c r="B57" s="23" t="s">
        <v>144</v>
      </c>
      <c r="C57" s="23" t="s">
        <v>145</v>
      </c>
      <c r="D57" s="23" t="s">
        <v>14</v>
      </c>
      <c r="E57" s="23">
        <v>14</v>
      </c>
      <c r="F57" s="24"/>
      <c r="G57" s="25">
        <f t="shared" si="4"/>
        <v>-14</v>
      </c>
      <c r="H57" s="26">
        <f t="shared" si="5"/>
        <v>-1</v>
      </c>
      <c r="I57" s="27"/>
      <c r="J57" s="25"/>
    </row>
    <row r="58" spans="1:10" x14ac:dyDescent="0.25">
      <c r="A58" s="23" t="s">
        <v>23</v>
      </c>
      <c r="B58" s="23" t="s">
        <v>146</v>
      </c>
      <c r="C58" s="23" t="s">
        <v>147</v>
      </c>
      <c r="D58" s="23" t="s">
        <v>26</v>
      </c>
      <c r="E58" s="23">
        <v>94</v>
      </c>
      <c r="F58" s="24"/>
      <c r="G58" s="25">
        <f t="shared" si="4"/>
        <v>-94</v>
      </c>
      <c r="H58" s="26">
        <f t="shared" si="5"/>
        <v>-1</v>
      </c>
      <c r="I58" s="27"/>
      <c r="J58" s="25"/>
    </row>
    <row r="59" spans="1:10" x14ac:dyDescent="0.25">
      <c r="A59" s="23" t="s">
        <v>23</v>
      </c>
      <c r="B59" s="23" t="s">
        <v>148</v>
      </c>
      <c r="C59" s="23" t="s">
        <v>149</v>
      </c>
      <c r="D59" s="23" t="s">
        <v>14</v>
      </c>
      <c r="E59" s="23">
        <v>136.69999999999999</v>
      </c>
      <c r="F59" s="24"/>
      <c r="G59" s="25">
        <f t="shared" si="4"/>
        <v>-136.69999999999999</v>
      </c>
      <c r="H59" s="26">
        <f t="shared" si="5"/>
        <v>-1</v>
      </c>
      <c r="I59" s="27"/>
      <c r="J59" s="25"/>
    </row>
    <row r="60" spans="1:10" x14ac:dyDescent="0.25">
      <c r="A60" s="23" t="s">
        <v>23</v>
      </c>
      <c r="B60" s="23" t="s">
        <v>150</v>
      </c>
      <c r="C60" s="23" t="s">
        <v>151</v>
      </c>
      <c r="D60" s="23" t="s">
        <v>14</v>
      </c>
      <c r="E60" s="23">
        <v>227.1</v>
      </c>
      <c r="F60" s="24"/>
      <c r="G60" s="25">
        <f t="shared" si="4"/>
        <v>-227.1</v>
      </c>
      <c r="H60" s="26">
        <f t="shared" si="5"/>
        <v>-1</v>
      </c>
      <c r="I60" s="27"/>
      <c r="J60" s="25"/>
    </row>
    <row r="61" spans="1:10" x14ac:dyDescent="0.25">
      <c r="A61" s="23" t="s">
        <v>23</v>
      </c>
      <c r="B61" s="23" t="s">
        <v>152</v>
      </c>
      <c r="C61" s="23" t="s">
        <v>153</v>
      </c>
      <c r="D61" s="23" t="s">
        <v>14</v>
      </c>
      <c r="E61" s="23">
        <v>58.6</v>
      </c>
      <c r="F61" s="24"/>
      <c r="G61" s="25">
        <f t="shared" si="4"/>
        <v>-58.6</v>
      </c>
      <c r="H61" s="26">
        <f t="shared" si="5"/>
        <v>-1</v>
      </c>
      <c r="I61" s="27"/>
      <c r="J61" s="25"/>
    </row>
    <row r="62" spans="1:10" x14ac:dyDescent="0.25">
      <c r="A62" s="23" t="s">
        <v>23</v>
      </c>
      <c r="B62" s="23" t="s">
        <v>154</v>
      </c>
      <c r="C62" s="23" t="s">
        <v>155</v>
      </c>
      <c r="D62" s="23" t="s">
        <v>14</v>
      </c>
      <c r="E62" s="23">
        <v>148.9</v>
      </c>
      <c r="F62" s="24"/>
      <c r="G62" s="25">
        <f t="shared" si="4"/>
        <v>-148.9</v>
      </c>
      <c r="H62" s="26">
        <f t="shared" si="5"/>
        <v>-1</v>
      </c>
      <c r="I62" s="27"/>
      <c r="J62" s="25"/>
    </row>
    <row r="63" spans="1:10" x14ac:dyDescent="0.25">
      <c r="A63" s="23" t="s">
        <v>23</v>
      </c>
      <c r="B63" s="23" t="s">
        <v>156</v>
      </c>
      <c r="C63" s="23" t="s">
        <v>157</v>
      </c>
      <c r="D63" s="23" t="s">
        <v>14</v>
      </c>
      <c r="E63" s="23">
        <v>874.2</v>
      </c>
      <c r="F63" s="24"/>
      <c r="G63" s="25">
        <f t="shared" si="4"/>
        <v>-874.2</v>
      </c>
      <c r="H63" s="26">
        <f t="shared" si="5"/>
        <v>-1</v>
      </c>
      <c r="I63" s="27"/>
      <c r="J63" s="25"/>
    </row>
    <row r="64" spans="1:10" x14ac:dyDescent="0.25">
      <c r="A64" s="23" t="s">
        <v>23</v>
      </c>
      <c r="B64" s="23" t="s">
        <v>156</v>
      </c>
      <c r="C64" s="23" t="s">
        <v>157</v>
      </c>
      <c r="D64" s="23" t="s">
        <v>14</v>
      </c>
      <c r="E64" s="23">
        <v>17.3</v>
      </c>
      <c r="F64" s="24"/>
      <c r="G64" s="25">
        <f t="shared" si="4"/>
        <v>-17.3</v>
      </c>
      <c r="H64" s="26">
        <f t="shared" si="5"/>
        <v>-1</v>
      </c>
      <c r="I64" s="27"/>
      <c r="J64" s="25"/>
    </row>
    <row r="65" spans="1:10" x14ac:dyDescent="0.25">
      <c r="A65" s="23" t="s">
        <v>158</v>
      </c>
      <c r="B65" s="23" t="s">
        <v>159</v>
      </c>
      <c r="C65" s="23" t="s">
        <v>160</v>
      </c>
      <c r="D65" s="23" t="s">
        <v>22</v>
      </c>
      <c r="E65" s="23">
        <v>215.4</v>
      </c>
      <c r="F65" s="24"/>
      <c r="G65" s="25">
        <f t="shared" si="4"/>
        <v>-215.4</v>
      </c>
      <c r="H65" s="26">
        <f t="shared" si="5"/>
        <v>-1</v>
      </c>
      <c r="I65" s="27"/>
      <c r="J65" s="25"/>
    </row>
    <row r="66" spans="1:10" x14ac:dyDescent="0.25">
      <c r="A66" s="23" t="s">
        <v>161</v>
      </c>
      <c r="B66" s="23" t="s">
        <v>162</v>
      </c>
      <c r="C66" s="23" t="s">
        <v>163</v>
      </c>
      <c r="D66" s="23" t="s">
        <v>14</v>
      </c>
      <c r="E66" s="23">
        <v>43.4</v>
      </c>
      <c r="F66" s="24"/>
      <c r="G66" s="25">
        <f t="shared" si="4"/>
        <v>-43.4</v>
      </c>
      <c r="H66" s="26">
        <f t="shared" si="5"/>
        <v>-1</v>
      </c>
      <c r="I66" s="27"/>
      <c r="J66" s="25"/>
    </row>
    <row r="67" spans="1:10" x14ac:dyDescent="0.25">
      <c r="A67" s="23" t="s">
        <v>164</v>
      </c>
      <c r="B67" s="23" t="s">
        <v>165</v>
      </c>
      <c r="C67" s="23" t="s">
        <v>166</v>
      </c>
      <c r="D67" s="23" t="s">
        <v>22</v>
      </c>
      <c r="E67" s="23">
        <v>179.7</v>
      </c>
      <c r="F67" s="24"/>
      <c r="G67" s="25">
        <f t="shared" si="4"/>
        <v>-179.7</v>
      </c>
      <c r="H67" s="26">
        <f t="shared" si="5"/>
        <v>-1</v>
      </c>
      <c r="I67" s="27"/>
      <c r="J67" s="25"/>
    </row>
    <row r="68" spans="1:10" x14ac:dyDescent="0.25">
      <c r="A68" s="23" t="s">
        <v>167</v>
      </c>
      <c r="B68" s="23" t="s">
        <v>168</v>
      </c>
      <c r="C68" s="23" t="s">
        <v>169</v>
      </c>
      <c r="D68" s="23" t="s">
        <v>22</v>
      </c>
      <c r="E68" s="23">
        <v>216.1</v>
      </c>
      <c r="F68" s="24"/>
      <c r="G68" s="25">
        <f t="shared" si="4"/>
        <v>-216.1</v>
      </c>
      <c r="H68" s="26">
        <f t="shared" si="5"/>
        <v>-1</v>
      </c>
      <c r="I68" s="27"/>
      <c r="J68" s="25"/>
    </row>
    <row r="69" spans="1:10" x14ac:dyDescent="0.25">
      <c r="A69" s="23" t="s">
        <v>170</v>
      </c>
      <c r="B69" s="23" t="s">
        <v>171</v>
      </c>
      <c r="C69" s="23" t="s">
        <v>172</v>
      </c>
      <c r="D69" s="23" t="s">
        <v>22</v>
      </c>
      <c r="E69" s="23">
        <v>185.7</v>
      </c>
      <c r="F69" s="24"/>
      <c r="G69" s="25">
        <f t="shared" si="4"/>
        <v>-185.7</v>
      </c>
      <c r="H69" s="26">
        <f t="shared" si="5"/>
        <v>-1</v>
      </c>
      <c r="I69" s="27"/>
      <c r="J69" s="25"/>
    </row>
    <row r="70" spans="1:10" x14ac:dyDescent="0.25">
      <c r="A70" s="23" t="s">
        <v>173</v>
      </c>
      <c r="B70" s="23" t="s">
        <v>174</v>
      </c>
      <c r="C70" s="23" t="s">
        <v>175</v>
      </c>
      <c r="D70" s="23" t="s">
        <v>22</v>
      </c>
      <c r="E70" s="23">
        <v>373.7</v>
      </c>
      <c r="F70" s="24"/>
      <c r="G70" s="25">
        <f t="shared" si="4"/>
        <v>-373.7</v>
      </c>
      <c r="H70" s="26">
        <f t="shared" si="5"/>
        <v>-1</v>
      </c>
      <c r="I70" s="27"/>
      <c r="J70" s="25"/>
    </row>
    <row r="71" spans="1:10" x14ac:dyDescent="0.25">
      <c r="A71" s="23" t="s">
        <v>176</v>
      </c>
      <c r="B71" s="23" t="s">
        <v>177</v>
      </c>
      <c r="C71" s="23" t="s">
        <v>178</v>
      </c>
      <c r="D71" s="23" t="s">
        <v>22</v>
      </c>
      <c r="E71" s="23">
        <v>288.8</v>
      </c>
      <c r="F71" s="24"/>
      <c r="G71" s="25">
        <f t="shared" si="4"/>
        <v>-288.8</v>
      </c>
      <c r="H71" s="26">
        <f t="shared" si="5"/>
        <v>-1</v>
      </c>
      <c r="I71" s="27"/>
      <c r="J71" s="25"/>
    </row>
    <row r="72" spans="1:10" x14ac:dyDescent="0.25">
      <c r="A72" s="23" t="s">
        <v>161</v>
      </c>
      <c r="B72" s="23" t="s">
        <v>179</v>
      </c>
      <c r="C72" s="23" t="s">
        <v>180</v>
      </c>
      <c r="D72" s="23" t="s">
        <v>14</v>
      </c>
      <c r="E72" s="23">
        <v>118.4</v>
      </c>
      <c r="F72" s="24"/>
      <c r="G72" s="25">
        <f t="shared" si="4"/>
        <v>-118.4</v>
      </c>
      <c r="H72" s="26">
        <f t="shared" si="5"/>
        <v>-1</v>
      </c>
      <c r="I72" s="27"/>
      <c r="J72" s="25"/>
    </row>
    <row r="73" spans="1:10" x14ac:dyDescent="0.25">
      <c r="A73" s="23" t="s">
        <v>181</v>
      </c>
      <c r="B73" s="23" t="s">
        <v>182</v>
      </c>
      <c r="C73" s="23" t="s">
        <v>183</v>
      </c>
      <c r="D73" s="23" t="s">
        <v>22</v>
      </c>
      <c r="E73" s="23">
        <v>72.400000000000006</v>
      </c>
      <c r="F73" s="24"/>
      <c r="G73" s="25">
        <f t="shared" ref="G73:G104" si="6">F73-E73</f>
        <v>-72.400000000000006</v>
      </c>
      <c r="H73" s="26">
        <f t="shared" ref="H73:H104" si="7">IF(AND(E73&gt;0,F73&gt;0),(F73/E73)-1,IF(AND(E73=0,F73&gt;0),1-(E73/F73),IF(AND(E73&gt;0,F73=0),(F73/E73)-1)))</f>
        <v>-1</v>
      </c>
      <c r="I73" s="27"/>
      <c r="J73" s="25"/>
    </row>
    <row r="74" spans="1:10" x14ac:dyDescent="0.25">
      <c r="A74" s="23" t="s">
        <v>161</v>
      </c>
      <c r="B74" s="23" t="s">
        <v>184</v>
      </c>
      <c r="C74" s="23" t="s">
        <v>185</v>
      </c>
      <c r="D74" s="23" t="s">
        <v>14</v>
      </c>
      <c r="E74" s="23">
        <v>44.1</v>
      </c>
      <c r="F74" s="24"/>
      <c r="G74" s="25">
        <f t="shared" si="6"/>
        <v>-44.1</v>
      </c>
      <c r="H74" s="26">
        <f t="shared" si="7"/>
        <v>-1</v>
      </c>
      <c r="I74" s="27"/>
      <c r="J74" s="25"/>
    </row>
    <row r="75" spans="1:10" x14ac:dyDescent="0.25">
      <c r="A75" s="23" t="s">
        <v>186</v>
      </c>
      <c r="B75" s="23" t="s">
        <v>187</v>
      </c>
      <c r="C75" s="23" t="s">
        <v>188</v>
      </c>
      <c r="D75" s="23" t="s">
        <v>22</v>
      </c>
      <c r="E75" s="23">
        <v>131.80000000000001</v>
      </c>
      <c r="F75" s="24"/>
      <c r="G75" s="25">
        <f t="shared" si="6"/>
        <v>-131.80000000000001</v>
      </c>
      <c r="H75" s="26">
        <f t="shared" si="7"/>
        <v>-1</v>
      </c>
      <c r="I75" s="27"/>
      <c r="J75" s="25"/>
    </row>
    <row r="76" spans="1:10" x14ac:dyDescent="0.25">
      <c r="A76" s="23" t="s">
        <v>189</v>
      </c>
      <c r="B76" s="23" t="s">
        <v>190</v>
      </c>
      <c r="C76" s="23" t="s">
        <v>191</v>
      </c>
      <c r="D76" s="23" t="s">
        <v>22</v>
      </c>
      <c r="E76" s="23">
        <v>167.7</v>
      </c>
      <c r="F76" s="24"/>
      <c r="G76" s="25">
        <f t="shared" si="6"/>
        <v>-167.7</v>
      </c>
      <c r="H76" s="26">
        <f t="shared" si="7"/>
        <v>-1</v>
      </c>
      <c r="I76" s="27"/>
      <c r="J76" s="25"/>
    </row>
    <row r="77" spans="1:10" x14ac:dyDescent="0.25">
      <c r="A77" s="23" t="s">
        <v>192</v>
      </c>
      <c r="B77" s="23" t="s">
        <v>193</v>
      </c>
      <c r="C77" s="23" t="s">
        <v>194</v>
      </c>
      <c r="D77" s="23" t="s">
        <v>22</v>
      </c>
      <c r="E77" s="23">
        <v>165.8</v>
      </c>
      <c r="F77" s="24"/>
      <c r="G77" s="25">
        <f t="shared" si="6"/>
        <v>-165.8</v>
      </c>
      <c r="H77" s="26">
        <f t="shared" si="7"/>
        <v>-1</v>
      </c>
      <c r="I77" s="27"/>
      <c r="J77" s="25"/>
    </row>
    <row r="78" spans="1:10" x14ac:dyDescent="0.25">
      <c r="A78" s="23" t="s">
        <v>23</v>
      </c>
      <c r="B78" s="23" t="s">
        <v>195</v>
      </c>
      <c r="C78" s="23" t="s">
        <v>196</v>
      </c>
      <c r="D78" s="23" t="s">
        <v>14</v>
      </c>
      <c r="E78" s="23">
        <v>624</v>
      </c>
      <c r="F78" s="24"/>
      <c r="G78" s="25">
        <f t="shared" si="6"/>
        <v>-624</v>
      </c>
      <c r="H78" s="26">
        <f t="shared" si="7"/>
        <v>-1</v>
      </c>
      <c r="I78" s="27"/>
      <c r="J78" s="25"/>
    </row>
    <row r="79" spans="1:10" x14ac:dyDescent="0.25">
      <c r="A79" s="23" t="s">
        <v>23</v>
      </c>
      <c r="B79" s="23" t="s">
        <v>196</v>
      </c>
      <c r="C79" s="23" t="s">
        <v>197</v>
      </c>
      <c r="D79" s="23" t="s">
        <v>14</v>
      </c>
      <c r="E79" s="23">
        <v>162</v>
      </c>
      <c r="F79" s="24"/>
      <c r="G79" s="25">
        <f t="shared" si="6"/>
        <v>-162</v>
      </c>
      <c r="H79" s="26">
        <f t="shared" si="7"/>
        <v>-1</v>
      </c>
      <c r="I79" s="27"/>
      <c r="J79" s="25"/>
    </row>
    <row r="80" spans="1:10" x14ac:dyDescent="0.25">
      <c r="A80" s="23" t="s">
        <v>198</v>
      </c>
      <c r="B80" s="23" t="s">
        <v>199</v>
      </c>
      <c r="C80" s="23" t="s">
        <v>200</v>
      </c>
      <c r="D80" s="23" t="s">
        <v>22</v>
      </c>
      <c r="E80" s="23">
        <v>94.9</v>
      </c>
      <c r="F80" s="24"/>
      <c r="G80" s="25">
        <f t="shared" si="6"/>
        <v>-94.9</v>
      </c>
      <c r="H80" s="26">
        <f t="shared" si="7"/>
        <v>-1</v>
      </c>
      <c r="I80" s="27"/>
      <c r="J80" s="25"/>
    </row>
    <row r="81" spans="1:10" x14ac:dyDescent="0.25">
      <c r="A81" s="23" t="s">
        <v>201</v>
      </c>
      <c r="B81" s="23" t="s">
        <v>202</v>
      </c>
      <c r="C81" s="23" t="s">
        <v>203</v>
      </c>
      <c r="D81" s="23" t="s">
        <v>22</v>
      </c>
      <c r="E81" s="23">
        <v>201.5</v>
      </c>
      <c r="F81" s="24"/>
      <c r="G81" s="25">
        <f t="shared" si="6"/>
        <v>-201.5</v>
      </c>
      <c r="H81" s="26">
        <f t="shared" si="7"/>
        <v>-1</v>
      </c>
      <c r="I81" s="27"/>
      <c r="J81" s="25"/>
    </row>
    <row r="82" spans="1:10" x14ac:dyDescent="0.25">
      <c r="A82" s="23" t="s">
        <v>23</v>
      </c>
      <c r="B82" s="23" t="s">
        <v>204</v>
      </c>
      <c r="C82" s="23" t="s">
        <v>205</v>
      </c>
      <c r="D82" s="23" t="s">
        <v>14</v>
      </c>
      <c r="E82" s="23">
        <v>42.8</v>
      </c>
      <c r="F82" s="24"/>
      <c r="G82" s="25">
        <f t="shared" si="6"/>
        <v>-42.8</v>
      </c>
      <c r="H82" s="26">
        <f t="shared" si="7"/>
        <v>-1</v>
      </c>
      <c r="I82" s="27"/>
      <c r="J82" s="25"/>
    </row>
    <row r="83" spans="1:10" x14ac:dyDescent="0.25">
      <c r="A83" s="23" t="s">
        <v>23</v>
      </c>
      <c r="B83" s="23" t="s">
        <v>206</v>
      </c>
      <c r="C83" s="23" t="s">
        <v>207</v>
      </c>
      <c r="D83" s="23" t="s">
        <v>14</v>
      </c>
      <c r="E83" s="23">
        <v>67.2</v>
      </c>
      <c r="F83" s="24"/>
      <c r="G83" s="25">
        <f t="shared" si="6"/>
        <v>-67.2</v>
      </c>
      <c r="H83" s="26">
        <f t="shared" si="7"/>
        <v>-1</v>
      </c>
      <c r="I83" s="27"/>
      <c r="J83" s="25"/>
    </row>
    <row r="84" spans="1:10" x14ac:dyDescent="0.25">
      <c r="A84" s="23" t="s">
        <v>23</v>
      </c>
      <c r="B84" s="23" t="s">
        <v>208</v>
      </c>
      <c r="C84" s="23" t="s">
        <v>209</v>
      </c>
      <c r="D84" s="23" t="s">
        <v>26</v>
      </c>
      <c r="E84" s="23">
        <v>225.9</v>
      </c>
      <c r="F84" s="24"/>
      <c r="G84" s="25">
        <f t="shared" si="6"/>
        <v>-225.9</v>
      </c>
      <c r="H84" s="26">
        <f t="shared" si="7"/>
        <v>-1</v>
      </c>
      <c r="I84" s="27"/>
      <c r="J84" s="25"/>
    </row>
    <row r="85" spans="1:10" x14ac:dyDescent="0.25">
      <c r="A85" s="23" t="s">
        <v>210</v>
      </c>
      <c r="B85" s="23" t="s">
        <v>211</v>
      </c>
      <c r="C85" s="23" t="s">
        <v>212</v>
      </c>
      <c r="D85" s="23" t="s">
        <v>22</v>
      </c>
      <c r="E85" s="23">
        <v>80.599999999999994</v>
      </c>
      <c r="F85" s="24"/>
      <c r="G85" s="25">
        <f t="shared" si="6"/>
        <v>-80.599999999999994</v>
      </c>
      <c r="H85" s="26">
        <f t="shared" si="7"/>
        <v>-1</v>
      </c>
      <c r="I85" s="27"/>
      <c r="J85" s="25"/>
    </row>
    <row r="86" spans="1:10" x14ac:dyDescent="0.25">
      <c r="A86" s="23" t="s">
        <v>213</v>
      </c>
      <c r="B86" s="23" t="s">
        <v>214</v>
      </c>
      <c r="C86" s="23" t="s">
        <v>215</v>
      </c>
      <c r="D86" s="23" t="s">
        <v>22</v>
      </c>
      <c r="E86" s="23">
        <v>38.5</v>
      </c>
      <c r="F86" s="24"/>
      <c r="G86" s="25">
        <f t="shared" si="6"/>
        <v>-38.5</v>
      </c>
      <c r="H86" s="26">
        <f t="shared" si="7"/>
        <v>-1</v>
      </c>
      <c r="I86" s="27"/>
      <c r="J86" s="25"/>
    </row>
    <row r="87" spans="1:10" x14ac:dyDescent="0.25">
      <c r="A87" s="23" t="s">
        <v>216</v>
      </c>
      <c r="B87" s="23" t="s">
        <v>217</v>
      </c>
      <c r="C87" s="23" t="s">
        <v>218</v>
      </c>
      <c r="D87" s="23" t="s">
        <v>22</v>
      </c>
      <c r="E87" s="23">
        <v>58.5</v>
      </c>
      <c r="F87" s="24"/>
      <c r="G87" s="25">
        <f t="shared" si="6"/>
        <v>-58.5</v>
      </c>
      <c r="H87" s="26">
        <f t="shared" si="7"/>
        <v>-1</v>
      </c>
      <c r="I87" s="27"/>
      <c r="J87" s="25"/>
    </row>
    <row r="88" spans="1:10" x14ac:dyDescent="0.25">
      <c r="A88" s="23" t="s">
        <v>219</v>
      </c>
      <c r="B88" s="23" t="s">
        <v>220</v>
      </c>
      <c r="C88" s="23" t="s">
        <v>221</v>
      </c>
      <c r="D88" s="23" t="s">
        <v>22</v>
      </c>
      <c r="E88" s="23">
        <v>29.5</v>
      </c>
      <c r="F88" s="24"/>
      <c r="G88" s="25">
        <f t="shared" si="6"/>
        <v>-29.5</v>
      </c>
      <c r="H88" s="26">
        <f t="shared" si="7"/>
        <v>-1</v>
      </c>
      <c r="I88" s="27"/>
      <c r="J88" s="25"/>
    </row>
    <row r="89" spans="1:10" x14ac:dyDescent="0.25">
      <c r="A89" s="23" t="s">
        <v>222</v>
      </c>
      <c r="B89" s="23" t="s">
        <v>223</v>
      </c>
      <c r="C89" s="23" t="s">
        <v>224</v>
      </c>
      <c r="D89" s="23" t="s">
        <v>22</v>
      </c>
      <c r="E89" s="23">
        <v>121.8</v>
      </c>
      <c r="F89" s="24"/>
      <c r="G89" s="25">
        <f t="shared" si="6"/>
        <v>-121.8</v>
      </c>
      <c r="H89" s="26">
        <f t="shared" si="7"/>
        <v>-1</v>
      </c>
      <c r="I89" s="27"/>
      <c r="J89" s="25"/>
    </row>
    <row r="90" spans="1:10" x14ac:dyDescent="0.25">
      <c r="A90" s="23" t="s">
        <v>225</v>
      </c>
      <c r="B90" s="23" t="s">
        <v>226</v>
      </c>
      <c r="C90" s="23" t="s">
        <v>227</v>
      </c>
      <c r="D90" s="23" t="s">
        <v>22</v>
      </c>
      <c r="E90" s="23">
        <v>144.30000000000001</v>
      </c>
      <c r="F90" s="24"/>
      <c r="G90" s="25">
        <f t="shared" si="6"/>
        <v>-144.30000000000001</v>
      </c>
      <c r="H90" s="26">
        <f t="shared" si="7"/>
        <v>-1</v>
      </c>
      <c r="I90" s="27"/>
      <c r="J90" s="25"/>
    </row>
    <row r="91" spans="1:10" x14ac:dyDescent="0.25">
      <c r="A91" s="23" t="s">
        <v>23</v>
      </c>
      <c r="B91" s="23" t="s">
        <v>228</v>
      </c>
      <c r="C91" s="23" t="s">
        <v>229</v>
      </c>
      <c r="D91" s="23" t="s">
        <v>26</v>
      </c>
      <c r="E91" s="23">
        <v>83</v>
      </c>
      <c r="F91" s="24"/>
      <c r="G91" s="25">
        <f t="shared" si="6"/>
        <v>-83</v>
      </c>
      <c r="H91" s="26">
        <f t="shared" si="7"/>
        <v>-1</v>
      </c>
      <c r="I91" s="27"/>
      <c r="J91" s="25"/>
    </row>
    <row r="92" spans="1:10" x14ac:dyDescent="0.25">
      <c r="A92" s="23" t="s">
        <v>23</v>
      </c>
      <c r="B92" s="23" t="s">
        <v>230</v>
      </c>
      <c r="C92" s="23" t="s">
        <v>231</v>
      </c>
      <c r="D92" s="23" t="s">
        <v>26</v>
      </c>
      <c r="E92" s="23">
        <v>159.9</v>
      </c>
      <c r="F92" s="24"/>
      <c r="G92" s="25">
        <f t="shared" si="6"/>
        <v>-159.9</v>
      </c>
      <c r="H92" s="26">
        <f t="shared" si="7"/>
        <v>-1</v>
      </c>
      <c r="I92" s="27"/>
      <c r="J92" s="25"/>
    </row>
    <row r="93" spans="1:10" x14ac:dyDescent="0.25">
      <c r="A93" s="23" t="s">
        <v>23</v>
      </c>
      <c r="B93" s="23" t="s">
        <v>232</v>
      </c>
      <c r="C93" s="23" t="s">
        <v>233</v>
      </c>
      <c r="D93" s="23" t="s">
        <v>26</v>
      </c>
      <c r="E93" s="23">
        <v>120.9</v>
      </c>
      <c r="F93" s="24"/>
      <c r="G93" s="25">
        <f t="shared" si="6"/>
        <v>-120.9</v>
      </c>
      <c r="H93" s="26">
        <f t="shared" si="7"/>
        <v>-1</v>
      </c>
      <c r="I93" s="27"/>
      <c r="J93" s="25"/>
    </row>
    <row r="94" spans="1:10" x14ac:dyDescent="0.25">
      <c r="A94" s="23" t="s">
        <v>23</v>
      </c>
      <c r="B94" s="23" t="s">
        <v>234</v>
      </c>
      <c r="C94" s="23" t="s">
        <v>235</v>
      </c>
      <c r="D94" s="23" t="s">
        <v>26</v>
      </c>
      <c r="E94" s="23">
        <v>103.8</v>
      </c>
      <c r="F94" s="24"/>
      <c r="G94" s="25">
        <f t="shared" si="6"/>
        <v>-103.8</v>
      </c>
      <c r="H94" s="26">
        <f t="shared" si="7"/>
        <v>-1</v>
      </c>
      <c r="I94" s="27"/>
      <c r="J94" s="25"/>
    </row>
    <row r="95" spans="1:10" x14ac:dyDescent="0.25">
      <c r="A95" s="23" t="s">
        <v>161</v>
      </c>
      <c r="B95" s="23" t="s">
        <v>236</v>
      </c>
      <c r="C95" s="23" t="s">
        <v>237</v>
      </c>
      <c r="D95" s="23" t="s">
        <v>26</v>
      </c>
      <c r="E95" s="23">
        <v>40.9</v>
      </c>
      <c r="F95" s="24"/>
      <c r="G95" s="25">
        <f t="shared" si="6"/>
        <v>-40.9</v>
      </c>
      <c r="H95" s="26">
        <f t="shared" si="7"/>
        <v>-1</v>
      </c>
      <c r="I95" s="27"/>
      <c r="J95" s="25"/>
    </row>
    <row r="96" spans="1:10" x14ac:dyDescent="0.25">
      <c r="A96" s="23" t="s">
        <v>23</v>
      </c>
      <c r="B96" s="23" t="s">
        <v>235</v>
      </c>
      <c r="C96" s="23" t="s">
        <v>238</v>
      </c>
      <c r="D96" s="23" t="s">
        <v>26</v>
      </c>
      <c r="E96" s="23">
        <v>218.1</v>
      </c>
      <c r="F96" s="24"/>
      <c r="G96" s="25">
        <f t="shared" si="6"/>
        <v>-218.1</v>
      </c>
      <c r="H96" s="26">
        <f t="shared" si="7"/>
        <v>-1</v>
      </c>
      <c r="I96" s="27"/>
      <c r="J96" s="25"/>
    </row>
    <row r="97" spans="1:10" x14ac:dyDescent="0.25">
      <c r="A97" s="23" t="s">
        <v>23</v>
      </c>
      <c r="B97" s="23" t="s">
        <v>239</v>
      </c>
      <c r="C97" s="23" t="s">
        <v>240</v>
      </c>
      <c r="D97" s="23" t="s">
        <v>14</v>
      </c>
      <c r="E97" s="23">
        <v>158.69999999999999</v>
      </c>
      <c r="F97" s="24"/>
      <c r="G97" s="25">
        <f t="shared" si="6"/>
        <v>-158.69999999999999</v>
      </c>
      <c r="H97" s="26">
        <f t="shared" si="7"/>
        <v>-1</v>
      </c>
      <c r="I97" s="27"/>
      <c r="J97" s="25"/>
    </row>
    <row r="98" spans="1:10" x14ac:dyDescent="0.25">
      <c r="A98" s="23" t="s">
        <v>241</v>
      </c>
      <c r="B98" s="23" t="s">
        <v>242</v>
      </c>
      <c r="C98" s="23" t="s">
        <v>243</v>
      </c>
      <c r="D98" s="23" t="s">
        <v>22</v>
      </c>
      <c r="E98" s="23">
        <v>174.1</v>
      </c>
      <c r="F98" s="24"/>
      <c r="G98" s="25">
        <f t="shared" si="6"/>
        <v>-174.1</v>
      </c>
      <c r="H98" s="26">
        <f t="shared" si="7"/>
        <v>-1</v>
      </c>
      <c r="I98" s="27"/>
      <c r="J98" s="25"/>
    </row>
    <row r="99" spans="1:10" x14ac:dyDescent="0.25">
      <c r="A99" s="23" t="s">
        <v>23</v>
      </c>
      <c r="B99" s="23" t="s">
        <v>244</v>
      </c>
      <c r="C99" s="23" t="s">
        <v>245</v>
      </c>
      <c r="D99" s="23" t="s">
        <v>14</v>
      </c>
      <c r="E99" s="23">
        <v>172.2</v>
      </c>
      <c r="F99" s="24"/>
      <c r="G99" s="25">
        <f t="shared" si="6"/>
        <v>-172.2</v>
      </c>
      <c r="H99" s="26">
        <f t="shared" si="7"/>
        <v>-1</v>
      </c>
      <c r="I99" s="27"/>
      <c r="J99" s="25"/>
    </row>
    <row r="100" spans="1:10" x14ac:dyDescent="0.25">
      <c r="A100" s="23" t="s">
        <v>23</v>
      </c>
      <c r="B100" s="23" t="s">
        <v>246</v>
      </c>
      <c r="C100" s="23" t="s">
        <v>247</v>
      </c>
      <c r="D100" s="23" t="s">
        <v>14</v>
      </c>
      <c r="E100" s="23">
        <v>98.9</v>
      </c>
      <c r="F100" s="24"/>
      <c r="G100" s="25">
        <f t="shared" si="6"/>
        <v>-98.9</v>
      </c>
      <c r="H100" s="26">
        <f t="shared" si="7"/>
        <v>-1</v>
      </c>
      <c r="I100" s="27"/>
      <c r="J100" s="25"/>
    </row>
    <row r="101" spans="1:10" x14ac:dyDescent="0.25">
      <c r="A101" s="23" t="s">
        <v>23</v>
      </c>
      <c r="B101" s="23" t="s">
        <v>247</v>
      </c>
      <c r="C101" s="23" t="s">
        <v>248</v>
      </c>
      <c r="D101" s="23" t="s">
        <v>26</v>
      </c>
      <c r="E101" s="23">
        <v>435.1</v>
      </c>
      <c r="F101" s="24"/>
      <c r="G101" s="25">
        <f t="shared" si="6"/>
        <v>-435.1</v>
      </c>
      <c r="H101" s="26">
        <f t="shared" si="7"/>
        <v>-1</v>
      </c>
      <c r="I101" s="27"/>
      <c r="J101" s="25"/>
    </row>
    <row r="102" spans="1:10" x14ac:dyDescent="0.25">
      <c r="A102" s="23" t="s">
        <v>161</v>
      </c>
      <c r="B102" s="23" t="s">
        <v>249</v>
      </c>
      <c r="C102" s="23" t="s">
        <v>250</v>
      </c>
      <c r="D102" s="23" t="s">
        <v>14</v>
      </c>
      <c r="E102" s="23">
        <v>55.5</v>
      </c>
      <c r="F102" s="24"/>
      <c r="G102" s="25">
        <f t="shared" si="6"/>
        <v>-55.5</v>
      </c>
      <c r="H102" s="26">
        <f t="shared" si="7"/>
        <v>-1</v>
      </c>
      <c r="I102" s="27"/>
      <c r="J102" s="25"/>
    </row>
    <row r="103" spans="1:10" x14ac:dyDescent="0.25">
      <c r="A103" s="23" t="s">
        <v>251</v>
      </c>
      <c r="B103" s="23" t="s">
        <v>252</v>
      </c>
      <c r="C103" s="23" t="s">
        <v>253</v>
      </c>
      <c r="D103" s="23" t="s">
        <v>22</v>
      </c>
      <c r="E103" s="23">
        <v>252.1</v>
      </c>
      <c r="F103" s="24"/>
      <c r="G103" s="25">
        <f t="shared" si="6"/>
        <v>-252.1</v>
      </c>
      <c r="H103" s="26">
        <f t="shared" si="7"/>
        <v>-1</v>
      </c>
      <c r="I103" s="27"/>
      <c r="J103" s="25"/>
    </row>
    <row r="104" spans="1:10" x14ac:dyDescent="0.25">
      <c r="A104" s="23" t="s">
        <v>161</v>
      </c>
      <c r="B104" s="23" t="s">
        <v>254</v>
      </c>
      <c r="C104" s="23" t="s">
        <v>255</v>
      </c>
      <c r="D104" s="23" t="s">
        <v>26</v>
      </c>
      <c r="E104" s="23">
        <v>172.6</v>
      </c>
      <c r="F104" s="24"/>
      <c r="G104" s="25">
        <f t="shared" si="6"/>
        <v>-172.6</v>
      </c>
      <c r="H104" s="26">
        <f t="shared" si="7"/>
        <v>-1</v>
      </c>
      <c r="I104" s="27"/>
      <c r="J104" s="25"/>
    </row>
    <row r="105" spans="1:10" x14ac:dyDescent="0.25">
      <c r="A105" s="23" t="s">
        <v>23</v>
      </c>
      <c r="B105" s="23" t="s">
        <v>256</v>
      </c>
      <c r="C105" s="23" t="s">
        <v>257</v>
      </c>
      <c r="D105" s="23" t="s">
        <v>26</v>
      </c>
      <c r="E105" s="23">
        <v>30.6</v>
      </c>
      <c r="F105" s="24"/>
      <c r="G105" s="25">
        <f t="shared" ref="G105:G136" si="8">F105-E105</f>
        <v>-30.6</v>
      </c>
      <c r="H105" s="26">
        <f t="shared" ref="H105:H136" si="9">IF(AND(E105&gt;0,F105&gt;0),(F105/E105)-1,IF(AND(E105=0,F105&gt;0),1-(E105/F105),IF(AND(E105&gt;0,F105=0),(F105/E105)-1)))</f>
        <v>-1</v>
      </c>
      <c r="I105" s="27"/>
      <c r="J105" s="25"/>
    </row>
    <row r="106" spans="1:10" x14ac:dyDescent="0.25">
      <c r="A106" s="23" t="s">
        <v>161</v>
      </c>
      <c r="B106" s="23" t="s">
        <v>258</v>
      </c>
      <c r="C106" s="23" t="s">
        <v>259</v>
      </c>
      <c r="D106" s="23" t="s">
        <v>26</v>
      </c>
      <c r="E106" s="23">
        <v>73</v>
      </c>
      <c r="F106" s="24"/>
      <c r="G106" s="25">
        <f t="shared" si="8"/>
        <v>-73</v>
      </c>
      <c r="H106" s="26">
        <f t="shared" si="9"/>
        <v>-1</v>
      </c>
      <c r="I106" s="27"/>
      <c r="J106" s="25"/>
    </row>
    <row r="107" spans="1:10" x14ac:dyDescent="0.25">
      <c r="A107" s="23" t="s">
        <v>23</v>
      </c>
      <c r="B107" s="23" t="s">
        <v>260</v>
      </c>
      <c r="C107" s="23" t="s">
        <v>261</v>
      </c>
      <c r="D107" s="23" t="s">
        <v>14</v>
      </c>
      <c r="E107" s="23">
        <v>100.1</v>
      </c>
      <c r="F107" s="24"/>
      <c r="G107" s="25">
        <f t="shared" si="8"/>
        <v>-100.1</v>
      </c>
      <c r="H107" s="26">
        <f t="shared" si="9"/>
        <v>-1</v>
      </c>
      <c r="I107" s="27"/>
      <c r="J107" s="25"/>
    </row>
    <row r="108" spans="1:10" x14ac:dyDescent="0.25">
      <c r="A108" s="23" t="s">
        <v>161</v>
      </c>
      <c r="B108" s="23" t="s">
        <v>262</v>
      </c>
      <c r="C108" s="23" t="s">
        <v>263</v>
      </c>
      <c r="D108" s="23" t="s">
        <v>14</v>
      </c>
      <c r="E108" s="23">
        <v>44.9</v>
      </c>
      <c r="F108" s="24"/>
      <c r="G108" s="25">
        <f t="shared" si="8"/>
        <v>-44.9</v>
      </c>
      <c r="H108" s="26">
        <f t="shared" si="9"/>
        <v>-1</v>
      </c>
      <c r="I108" s="27"/>
      <c r="J108" s="25"/>
    </row>
    <row r="109" spans="1:10" x14ac:dyDescent="0.25">
      <c r="A109" s="23" t="s">
        <v>264</v>
      </c>
      <c r="B109" s="23" t="s">
        <v>265</v>
      </c>
      <c r="C109" s="23" t="s">
        <v>266</v>
      </c>
      <c r="D109" s="23" t="s">
        <v>22</v>
      </c>
      <c r="E109" s="23">
        <v>169.3</v>
      </c>
      <c r="F109" s="24"/>
      <c r="G109" s="25">
        <f t="shared" si="8"/>
        <v>-169.3</v>
      </c>
      <c r="H109" s="26">
        <f t="shared" si="9"/>
        <v>-1</v>
      </c>
      <c r="I109" s="27"/>
      <c r="J109" s="25"/>
    </row>
    <row r="110" spans="1:10" x14ac:dyDescent="0.25">
      <c r="A110" s="23" t="s">
        <v>23</v>
      </c>
      <c r="B110" s="23" t="s">
        <v>267</v>
      </c>
      <c r="C110" s="23" t="s">
        <v>268</v>
      </c>
      <c r="D110" s="23" t="s">
        <v>14</v>
      </c>
      <c r="E110" s="23">
        <v>105</v>
      </c>
      <c r="F110" s="24"/>
      <c r="G110" s="25">
        <f t="shared" si="8"/>
        <v>-105</v>
      </c>
      <c r="H110" s="26">
        <f t="shared" si="9"/>
        <v>-1</v>
      </c>
      <c r="I110" s="27"/>
      <c r="J110" s="25"/>
    </row>
    <row r="111" spans="1:10" x14ac:dyDescent="0.25">
      <c r="A111" s="23" t="s">
        <v>23</v>
      </c>
      <c r="B111" s="23" t="s">
        <v>268</v>
      </c>
      <c r="C111" s="23" t="s">
        <v>269</v>
      </c>
      <c r="D111" s="23" t="s">
        <v>26</v>
      </c>
      <c r="E111" s="23">
        <v>343</v>
      </c>
      <c r="F111" s="24"/>
      <c r="G111" s="25">
        <f t="shared" si="8"/>
        <v>-343</v>
      </c>
      <c r="H111" s="26">
        <f t="shared" si="9"/>
        <v>-1</v>
      </c>
      <c r="I111" s="27"/>
      <c r="J111" s="25"/>
    </row>
    <row r="112" spans="1:10" x14ac:dyDescent="0.25">
      <c r="A112" s="23" t="s">
        <v>23</v>
      </c>
      <c r="B112" s="23" t="s">
        <v>270</v>
      </c>
      <c r="C112" s="23" t="s">
        <v>271</v>
      </c>
      <c r="D112" s="23" t="s">
        <v>26</v>
      </c>
      <c r="E112" s="23">
        <v>29.3</v>
      </c>
      <c r="F112" s="24"/>
      <c r="G112" s="25">
        <f t="shared" si="8"/>
        <v>-29.3</v>
      </c>
      <c r="H112" s="26">
        <f t="shared" si="9"/>
        <v>-1</v>
      </c>
      <c r="I112" s="27"/>
      <c r="J112" s="25"/>
    </row>
    <row r="113" spans="1:10" x14ac:dyDescent="0.25">
      <c r="A113" s="23" t="s">
        <v>56</v>
      </c>
      <c r="B113" s="23" t="s">
        <v>272</v>
      </c>
      <c r="C113" s="23" t="s">
        <v>273</v>
      </c>
      <c r="D113" s="23" t="s">
        <v>22</v>
      </c>
      <c r="E113" s="23">
        <v>14.2</v>
      </c>
      <c r="F113" s="24"/>
      <c r="G113" s="25">
        <f t="shared" si="8"/>
        <v>-14.2</v>
      </c>
      <c r="H113" s="26">
        <f t="shared" si="9"/>
        <v>-1</v>
      </c>
      <c r="I113" s="27"/>
      <c r="J113" s="25"/>
    </row>
    <row r="114" spans="1:10" x14ac:dyDescent="0.25">
      <c r="A114" s="23" t="s">
        <v>23</v>
      </c>
      <c r="B114" s="23" t="s">
        <v>274</v>
      </c>
      <c r="C114" s="23" t="s">
        <v>275</v>
      </c>
      <c r="D114" s="23" t="s">
        <v>14</v>
      </c>
      <c r="E114" s="23">
        <v>352.9</v>
      </c>
      <c r="F114" s="24"/>
      <c r="G114" s="25">
        <f t="shared" si="8"/>
        <v>-352.9</v>
      </c>
      <c r="H114" s="26">
        <f t="shared" si="9"/>
        <v>-1</v>
      </c>
      <c r="I114" s="27"/>
      <c r="J114" s="25"/>
    </row>
    <row r="115" spans="1:10" x14ac:dyDescent="0.25">
      <c r="A115" s="23" t="s">
        <v>56</v>
      </c>
      <c r="B115" s="23" t="s">
        <v>276</v>
      </c>
      <c r="C115" s="23" t="s">
        <v>277</v>
      </c>
      <c r="D115" s="23" t="s">
        <v>22</v>
      </c>
      <c r="E115" s="23">
        <v>82.1</v>
      </c>
      <c r="F115" s="24"/>
      <c r="G115" s="25">
        <f t="shared" si="8"/>
        <v>-82.1</v>
      </c>
      <c r="H115" s="26">
        <f t="shared" si="9"/>
        <v>-1</v>
      </c>
      <c r="I115" s="27"/>
      <c r="J115" s="25"/>
    </row>
    <row r="116" spans="1:10" x14ac:dyDescent="0.25">
      <c r="A116" s="23" t="s">
        <v>23</v>
      </c>
      <c r="B116" s="23" t="s">
        <v>278</v>
      </c>
      <c r="C116" s="23" t="s">
        <v>279</v>
      </c>
      <c r="D116" s="23" t="s">
        <v>14</v>
      </c>
      <c r="E116" s="23">
        <v>35.4</v>
      </c>
      <c r="F116" s="24"/>
      <c r="G116" s="25">
        <f t="shared" si="8"/>
        <v>-35.4</v>
      </c>
      <c r="H116" s="26">
        <f t="shared" si="9"/>
        <v>-1</v>
      </c>
      <c r="I116" s="27"/>
      <c r="J116" s="25"/>
    </row>
    <row r="117" spans="1:10" x14ac:dyDescent="0.25">
      <c r="A117" s="23" t="s">
        <v>23</v>
      </c>
      <c r="B117" s="23" t="s">
        <v>280</v>
      </c>
      <c r="C117" s="23" t="s">
        <v>281</v>
      </c>
      <c r="D117" s="23" t="s">
        <v>14</v>
      </c>
      <c r="E117" s="23">
        <v>105</v>
      </c>
      <c r="F117" s="24"/>
      <c r="G117" s="25">
        <f t="shared" si="8"/>
        <v>-105</v>
      </c>
      <c r="H117" s="26">
        <f t="shared" si="9"/>
        <v>-1</v>
      </c>
      <c r="I117" s="27"/>
      <c r="J117" s="25"/>
    </row>
    <row r="118" spans="1:10" x14ac:dyDescent="0.25">
      <c r="A118" s="23" t="s">
        <v>23</v>
      </c>
      <c r="B118" s="23" t="s">
        <v>282</v>
      </c>
      <c r="C118" s="23" t="s">
        <v>283</v>
      </c>
      <c r="D118" s="23" t="s">
        <v>14</v>
      </c>
      <c r="E118" s="23">
        <v>117.2</v>
      </c>
      <c r="F118" s="24"/>
      <c r="G118" s="25">
        <f t="shared" si="8"/>
        <v>-117.2</v>
      </c>
      <c r="H118" s="26">
        <f t="shared" si="9"/>
        <v>-1</v>
      </c>
      <c r="I118" s="27"/>
      <c r="J118" s="25"/>
    </row>
    <row r="119" spans="1:10" x14ac:dyDescent="0.25">
      <c r="A119" s="23" t="s">
        <v>264</v>
      </c>
      <c r="B119" s="23" t="s">
        <v>284</v>
      </c>
      <c r="C119" s="23" t="s">
        <v>285</v>
      </c>
      <c r="D119" s="23" t="s">
        <v>14</v>
      </c>
      <c r="E119" s="23">
        <v>12.8</v>
      </c>
      <c r="F119" s="24"/>
      <c r="G119" s="25">
        <f t="shared" si="8"/>
        <v>-12.8</v>
      </c>
      <c r="H119" s="26">
        <f t="shared" si="9"/>
        <v>-1</v>
      </c>
      <c r="I119" s="27"/>
      <c r="J119" s="25"/>
    </row>
    <row r="120" spans="1:10" x14ac:dyDescent="0.25">
      <c r="A120" s="23" t="s">
        <v>23</v>
      </c>
      <c r="B120" s="23" t="s">
        <v>286</v>
      </c>
      <c r="C120" s="23" t="s">
        <v>287</v>
      </c>
      <c r="D120" s="23" t="s">
        <v>14</v>
      </c>
      <c r="E120" s="23">
        <v>173.3</v>
      </c>
      <c r="F120" s="24"/>
      <c r="G120" s="25">
        <f t="shared" si="8"/>
        <v>-173.3</v>
      </c>
      <c r="H120" s="26">
        <f t="shared" si="9"/>
        <v>-1</v>
      </c>
      <c r="I120" s="27"/>
      <c r="J120" s="25"/>
    </row>
    <row r="121" spans="1:10" x14ac:dyDescent="0.25">
      <c r="A121" s="23" t="s">
        <v>161</v>
      </c>
      <c r="B121" s="23" t="s">
        <v>288</v>
      </c>
      <c r="C121" s="23" t="s">
        <v>289</v>
      </c>
      <c r="D121" s="23" t="s">
        <v>26</v>
      </c>
      <c r="E121" s="23">
        <v>110.1</v>
      </c>
      <c r="F121" s="24"/>
      <c r="G121" s="25">
        <f t="shared" si="8"/>
        <v>-110.1</v>
      </c>
      <c r="H121" s="26">
        <f t="shared" si="9"/>
        <v>-1</v>
      </c>
      <c r="I121" s="27"/>
      <c r="J121" s="25"/>
    </row>
    <row r="122" spans="1:10" x14ac:dyDescent="0.25">
      <c r="A122" s="23" t="s">
        <v>23</v>
      </c>
      <c r="B122" s="23" t="s">
        <v>290</v>
      </c>
      <c r="C122" s="23" t="s">
        <v>291</v>
      </c>
      <c r="D122" s="23" t="s">
        <v>26</v>
      </c>
      <c r="E122" s="23">
        <v>356.6</v>
      </c>
      <c r="F122" s="24"/>
      <c r="G122" s="25">
        <f t="shared" si="8"/>
        <v>-356.6</v>
      </c>
      <c r="H122" s="26">
        <f t="shared" si="9"/>
        <v>-1</v>
      </c>
      <c r="I122" s="27"/>
      <c r="J122" s="25"/>
    </row>
    <row r="123" spans="1:10" x14ac:dyDescent="0.25">
      <c r="A123" s="23" t="s">
        <v>161</v>
      </c>
      <c r="B123" s="23" t="s">
        <v>292</v>
      </c>
      <c r="C123" s="23" t="s">
        <v>293</v>
      </c>
      <c r="D123" s="23" t="s">
        <v>14</v>
      </c>
      <c r="E123" s="23">
        <v>59.8</v>
      </c>
      <c r="F123" s="24"/>
      <c r="G123" s="25">
        <f t="shared" si="8"/>
        <v>-59.8</v>
      </c>
      <c r="H123" s="26">
        <f t="shared" si="9"/>
        <v>-1</v>
      </c>
      <c r="I123" s="27"/>
      <c r="J123" s="25"/>
    </row>
    <row r="124" spans="1:10" x14ac:dyDescent="0.25">
      <c r="A124" s="23" t="s">
        <v>161</v>
      </c>
      <c r="B124" s="23" t="s">
        <v>294</v>
      </c>
      <c r="C124" s="23" t="s">
        <v>295</v>
      </c>
      <c r="D124" s="23" t="s">
        <v>14</v>
      </c>
      <c r="E124" s="23">
        <v>47.7</v>
      </c>
      <c r="F124" s="24"/>
      <c r="G124" s="25">
        <f t="shared" si="8"/>
        <v>-47.7</v>
      </c>
      <c r="H124" s="26">
        <f t="shared" si="9"/>
        <v>-1</v>
      </c>
      <c r="I124" s="27"/>
      <c r="J124" s="25"/>
    </row>
    <row r="125" spans="1:10" x14ac:dyDescent="0.25">
      <c r="A125" s="23" t="s">
        <v>264</v>
      </c>
      <c r="B125" s="23" t="s">
        <v>296</v>
      </c>
      <c r="C125" s="23" t="s">
        <v>297</v>
      </c>
      <c r="D125" s="23" t="s">
        <v>14</v>
      </c>
      <c r="E125" s="23">
        <v>14.4</v>
      </c>
      <c r="F125" s="24"/>
      <c r="G125" s="25">
        <f t="shared" si="8"/>
        <v>-14.4</v>
      </c>
      <c r="H125" s="26">
        <f t="shared" si="9"/>
        <v>-1</v>
      </c>
      <c r="I125" s="27"/>
      <c r="J125" s="25"/>
    </row>
    <row r="126" spans="1:10" x14ac:dyDescent="0.25">
      <c r="A126" s="23" t="s">
        <v>23</v>
      </c>
      <c r="B126" s="23" t="s">
        <v>298</v>
      </c>
      <c r="C126" s="23" t="s">
        <v>299</v>
      </c>
      <c r="D126" s="23" t="s">
        <v>14</v>
      </c>
      <c r="E126" s="23">
        <v>81.900000000000006</v>
      </c>
      <c r="F126" s="24"/>
      <c r="G126" s="25">
        <f t="shared" si="8"/>
        <v>-81.900000000000006</v>
      </c>
      <c r="H126" s="26">
        <f t="shared" si="9"/>
        <v>-1</v>
      </c>
      <c r="I126" s="27"/>
      <c r="J126" s="25"/>
    </row>
    <row r="127" spans="1:10" x14ac:dyDescent="0.25">
      <c r="A127" s="23" t="s">
        <v>300</v>
      </c>
      <c r="B127" s="23" t="s">
        <v>301</v>
      </c>
      <c r="C127" s="23" t="s">
        <v>302</v>
      </c>
      <c r="D127" s="23" t="s">
        <v>26</v>
      </c>
      <c r="E127" s="23">
        <v>562</v>
      </c>
      <c r="F127" s="24"/>
      <c r="G127" s="25">
        <f t="shared" si="8"/>
        <v>-562</v>
      </c>
      <c r="H127" s="26">
        <f t="shared" si="9"/>
        <v>-1</v>
      </c>
      <c r="I127" s="27"/>
      <c r="J127" s="25"/>
    </row>
    <row r="128" spans="1:10" x14ac:dyDescent="0.25">
      <c r="A128" s="23" t="s">
        <v>303</v>
      </c>
      <c r="B128" s="23" t="s">
        <v>304</v>
      </c>
      <c r="C128" s="23" t="s">
        <v>305</v>
      </c>
      <c r="D128" s="23" t="s">
        <v>22</v>
      </c>
      <c r="E128" s="23">
        <v>81.099999999999994</v>
      </c>
      <c r="F128" s="24"/>
      <c r="G128" s="25">
        <f t="shared" si="8"/>
        <v>-81.099999999999994</v>
      </c>
      <c r="H128" s="26">
        <f t="shared" si="9"/>
        <v>-1</v>
      </c>
      <c r="I128" s="27"/>
      <c r="J128" s="25"/>
    </row>
    <row r="129" spans="1:10" x14ac:dyDescent="0.25">
      <c r="A129" s="23" t="s">
        <v>81</v>
      </c>
      <c r="B129" s="23" t="s">
        <v>306</v>
      </c>
      <c r="C129" s="23" t="s">
        <v>307</v>
      </c>
      <c r="D129" s="23" t="s">
        <v>22</v>
      </c>
      <c r="E129" s="23">
        <v>41.2</v>
      </c>
      <c r="F129" s="24"/>
      <c r="G129" s="25">
        <f t="shared" si="8"/>
        <v>-41.2</v>
      </c>
      <c r="H129" s="26">
        <f t="shared" si="9"/>
        <v>-1</v>
      </c>
      <c r="I129" s="27"/>
      <c r="J129" s="25"/>
    </row>
    <row r="130" spans="1:10" x14ac:dyDescent="0.25">
      <c r="A130" s="23" t="s">
        <v>72</v>
      </c>
      <c r="B130" s="23" t="s">
        <v>308</v>
      </c>
      <c r="C130" s="23" t="s">
        <v>309</v>
      </c>
      <c r="D130" s="23" t="s">
        <v>22</v>
      </c>
      <c r="E130" s="23">
        <v>33</v>
      </c>
      <c r="F130" s="24"/>
      <c r="G130" s="25">
        <f t="shared" si="8"/>
        <v>-33</v>
      </c>
      <c r="H130" s="26">
        <f t="shared" si="9"/>
        <v>-1</v>
      </c>
      <c r="I130" s="27"/>
      <c r="J130" s="25"/>
    </row>
    <row r="131" spans="1:10" x14ac:dyDescent="0.25">
      <c r="A131" s="23" t="s">
        <v>310</v>
      </c>
      <c r="B131" s="23" t="s">
        <v>311</v>
      </c>
      <c r="C131" s="23" t="s">
        <v>312</v>
      </c>
      <c r="D131" s="23" t="s">
        <v>22</v>
      </c>
      <c r="E131" s="23">
        <v>198.9</v>
      </c>
      <c r="F131" s="24"/>
      <c r="G131" s="25">
        <f t="shared" si="8"/>
        <v>-198.9</v>
      </c>
      <c r="H131" s="26">
        <f t="shared" si="9"/>
        <v>-1</v>
      </c>
      <c r="I131" s="27"/>
      <c r="J131" s="25"/>
    </row>
    <row r="132" spans="1:10" x14ac:dyDescent="0.25">
      <c r="A132" s="23" t="s">
        <v>112</v>
      </c>
      <c r="B132" s="23" t="s">
        <v>313</v>
      </c>
      <c r="C132" s="23" t="s">
        <v>314</v>
      </c>
      <c r="D132" s="23" t="s">
        <v>22</v>
      </c>
      <c r="E132" s="23">
        <v>31.7</v>
      </c>
      <c r="F132" s="24"/>
      <c r="G132" s="25">
        <f t="shared" si="8"/>
        <v>-31.7</v>
      </c>
      <c r="H132" s="26">
        <f t="shared" si="9"/>
        <v>-1</v>
      </c>
      <c r="I132" s="27"/>
      <c r="J132" s="25"/>
    </row>
    <row r="133" spans="1:10" x14ac:dyDescent="0.25">
      <c r="A133" s="23" t="s">
        <v>23</v>
      </c>
      <c r="B133" s="23" t="s">
        <v>315</v>
      </c>
      <c r="C133" s="23" t="s">
        <v>316</v>
      </c>
      <c r="D133" s="23" t="s">
        <v>14</v>
      </c>
      <c r="E133" s="23">
        <v>156.30000000000001</v>
      </c>
      <c r="F133" s="24"/>
      <c r="G133" s="25">
        <f t="shared" si="8"/>
        <v>-156.30000000000001</v>
      </c>
      <c r="H133" s="26">
        <f t="shared" si="9"/>
        <v>-1</v>
      </c>
      <c r="I133" s="27"/>
      <c r="J133" s="25"/>
    </row>
    <row r="134" spans="1:10" x14ac:dyDescent="0.25">
      <c r="A134" s="23" t="s">
        <v>41</v>
      </c>
      <c r="B134" s="23" t="s">
        <v>317</v>
      </c>
      <c r="C134" s="23" t="s">
        <v>318</v>
      </c>
      <c r="D134" s="23" t="s">
        <v>22</v>
      </c>
      <c r="E134" s="23">
        <v>46.2</v>
      </c>
      <c r="F134" s="24"/>
      <c r="G134" s="25">
        <f t="shared" si="8"/>
        <v>-46.2</v>
      </c>
      <c r="H134" s="26">
        <f t="shared" si="9"/>
        <v>-1</v>
      </c>
      <c r="I134" s="27"/>
      <c r="J134" s="25"/>
    </row>
    <row r="135" spans="1:10" x14ac:dyDescent="0.25">
      <c r="A135" s="23" t="s">
        <v>23</v>
      </c>
      <c r="B135" s="23" t="s">
        <v>319</v>
      </c>
      <c r="C135" s="23" t="s">
        <v>320</v>
      </c>
      <c r="D135" s="23" t="s">
        <v>22</v>
      </c>
      <c r="E135" s="23">
        <v>104.3</v>
      </c>
      <c r="F135" s="24"/>
      <c r="G135" s="25">
        <f t="shared" si="8"/>
        <v>-104.3</v>
      </c>
      <c r="H135" s="26">
        <f t="shared" si="9"/>
        <v>-1</v>
      </c>
      <c r="I135" s="27"/>
      <c r="J135" s="25"/>
    </row>
    <row r="136" spans="1:10" x14ac:dyDescent="0.25">
      <c r="A136" s="23" t="s">
        <v>321</v>
      </c>
      <c r="B136" s="23" t="s">
        <v>322</v>
      </c>
      <c r="C136" s="23" t="s">
        <v>323</v>
      </c>
      <c r="D136" s="23" t="s">
        <v>22</v>
      </c>
      <c r="E136" s="23">
        <v>389.4</v>
      </c>
      <c r="F136" s="24"/>
      <c r="G136" s="25">
        <f t="shared" si="8"/>
        <v>-389.4</v>
      </c>
      <c r="H136" s="26">
        <f t="shared" si="9"/>
        <v>-1</v>
      </c>
      <c r="I136" s="27"/>
      <c r="J136" s="25"/>
    </row>
    <row r="137" spans="1:10" x14ac:dyDescent="0.25">
      <c r="A137" s="23" t="s">
        <v>300</v>
      </c>
      <c r="B137" s="23" t="s">
        <v>324</v>
      </c>
      <c r="C137" s="23" t="s">
        <v>325</v>
      </c>
      <c r="D137" s="23" t="s">
        <v>22</v>
      </c>
      <c r="E137" s="23">
        <v>150</v>
      </c>
      <c r="F137" s="24"/>
      <c r="G137" s="25">
        <f t="shared" ref="G137:G168" si="10">F137-E137</f>
        <v>-150</v>
      </c>
      <c r="H137" s="26">
        <f t="shared" ref="H137:H168" si="11">IF(AND(E137&gt;0,F137&gt;0),(F137/E137)-1,IF(AND(E137=0,F137&gt;0),1-(E137/F137),IF(AND(E137&gt;0,F137=0),(F137/E137)-1)))</f>
        <v>-1</v>
      </c>
      <c r="I137" s="27"/>
      <c r="J137" s="25"/>
    </row>
    <row r="138" spans="1:10" x14ac:dyDescent="0.25">
      <c r="A138" s="23" t="s">
        <v>300</v>
      </c>
      <c r="B138" s="23" t="s">
        <v>326</v>
      </c>
      <c r="C138" s="23" t="s">
        <v>327</v>
      </c>
      <c r="D138" s="23" t="s">
        <v>26</v>
      </c>
      <c r="E138" s="23">
        <v>6402.7</v>
      </c>
      <c r="F138" s="24"/>
      <c r="G138" s="25">
        <f t="shared" si="10"/>
        <v>-6402.7</v>
      </c>
      <c r="H138" s="26">
        <f t="shared" si="11"/>
        <v>-1</v>
      </c>
      <c r="I138" s="27"/>
      <c r="J138" s="25"/>
    </row>
    <row r="139" spans="1:10" x14ac:dyDescent="0.25">
      <c r="A139" s="23" t="s">
        <v>23</v>
      </c>
      <c r="B139" s="23" t="s">
        <v>328</v>
      </c>
      <c r="C139" s="23" t="s">
        <v>329</v>
      </c>
      <c r="D139" s="23" t="s">
        <v>14</v>
      </c>
      <c r="E139" s="23">
        <v>180.2</v>
      </c>
      <c r="F139" s="24"/>
      <c r="G139" s="25">
        <f t="shared" si="10"/>
        <v>-180.2</v>
      </c>
      <c r="H139" s="26">
        <f t="shared" si="11"/>
        <v>-1</v>
      </c>
      <c r="I139" s="27"/>
      <c r="J139" s="25"/>
    </row>
    <row r="140" spans="1:10" x14ac:dyDescent="0.25">
      <c r="A140" s="23" t="s">
        <v>46</v>
      </c>
      <c r="B140" s="23" t="s">
        <v>330</v>
      </c>
      <c r="C140" s="23" t="s">
        <v>331</v>
      </c>
      <c r="D140" s="23" t="s">
        <v>14</v>
      </c>
      <c r="E140" s="23">
        <v>18</v>
      </c>
      <c r="F140" s="24"/>
      <c r="G140" s="25">
        <f t="shared" si="10"/>
        <v>-18</v>
      </c>
      <c r="H140" s="26">
        <f t="shared" si="11"/>
        <v>-1</v>
      </c>
      <c r="I140" s="27"/>
      <c r="J140" s="25"/>
    </row>
    <row r="141" spans="1:10" x14ac:dyDescent="0.25">
      <c r="A141" s="23" t="s">
        <v>332</v>
      </c>
      <c r="B141" s="23" t="s">
        <v>333</v>
      </c>
      <c r="C141" s="23" t="s">
        <v>334</v>
      </c>
      <c r="D141" s="23" t="s">
        <v>22</v>
      </c>
      <c r="E141" s="23">
        <v>28.7</v>
      </c>
      <c r="F141" s="24"/>
      <c r="G141" s="25">
        <f t="shared" si="10"/>
        <v>-28.7</v>
      </c>
      <c r="H141" s="26">
        <f t="shared" si="11"/>
        <v>-1</v>
      </c>
      <c r="I141" s="27"/>
      <c r="J141" s="25"/>
    </row>
    <row r="142" spans="1:10" x14ac:dyDescent="0.25">
      <c r="A142" s="23" t="s">
        <v>23</v>
      </c>
      <c r="B142" s="23" t="s">
        <v>335</v>
      </c>
      <c r="C142" s="23" t="s">
        <v>336</v>
      </c>
      <c r="D142" s="23" t="s">
        <v>14</v>
      </c>
      <c r="E142" s="23">
        <v>144.1</v>
      </c>
      <c r="F142" s="24"/>
      <c r="G142" s="25">
        <f t="shared" si="10"/>
        <v>-144.1</v>
      </c>
      <c r="H142" s="26">
        <f t="shared" si="11"/>
        <v>-1</v>
      </c>
      <c r="I142" s="27"/>
      <c r="J142" s="25"/>
    </row>
    <row r="143" spans="1:10" x14ac:dyDescent="0.25">
      <c r="A143" s="23" t="s">
        <v>23</v>
      </c>
      <c r="B143" s="23" t="s">
        <v>336</v>
      </c>
      <c r="C143" s="23" t="s">
        <v>337</v>
      </c>
      <c r="D143" s="23" t="s">
        <v>14</v>
      </c>
      <c r="E143" s="23">
        <v>146.80000000000001</v>
      </c>
      <c r="F143" s="24"/>
      <c r="G143" s="25">
        <f t="shared" si="10"/>
        <v>-146.80000000000001</v>
      </c>
      <c r="H143" s="26">
        <f t="shared" si="11"/>
        <v>-1</v>
      </c>
      <c r="I143" s="27"/>
      <c r="J143" s="25"/>
    </row>
    <row r="144" spans="1:10" x14ac:dyDescent="0.25">
      <c r="A144" s="23" t="s">
        <v>23</v>
      </c>
      <c r="B144" s="23" t="s">
        <v>338</v>
      </c>
      <c r="C144" s="23" t="s">
        <v>339</v>
      </c>
      <c r="D144" s="23" t="s">
        <v>26</v>
      </c>
      <c r="E144" s="23">
        <v>89.1</v>
      </c>
      <c r="F144" s="24"/>
      <c r="G144" s="25">
        <f t="shared" si="10"/>
        <v>-89.1</v>
      </c>
      <c r="H144" s="26">
        <f t="shared" si="11"/>
        <v>-1</v>
      </c>
      <c r="I144" s="27"/>
      <c r="J144" s="25"/>
    </row>
    <row r="145" spans="1:10" x14ac:dyDescent="0.25">
      <c r="A145" s="23" t="s">
        <v>23</v>
      </c>
      <c r="B145" s="23" t="s">
        <v>340</v>
      </c>
      <c r="C145" s="23" t="s">
        <v>341</v>
      </c>
      <c r="D145" s="23" t="s">
        <v>26</v>
      </c>
      <c r="E145" s="23">
        <v>105</v>
      </c>
      <c r="F145" s="24"/>
      <c r="G145" s="25">
        <f t="shared" si="10"/>
        <v>-105</v>
      </c>
      <c r="H145" s="26">
        <f t="shared" si="11"/>
        <v>-1</v>
      </c>
      <c r="I145" s="27"/>
      <c r="J145" s="25"/>
    </row>
    <row r="146" spans="1:10" x14ac:dyDescent="0.25">
      <c r="A146" s="23" t="s">
        <v>46</v>
      </c>
      <c r="B146" s="23" t="s">
        <v>342</v>
      </c>
      <c r="C146" s="23" t="s">
        <v>343</v>
      </c>
      <c r="D146" s="23" t="s">
        <v>14</v>
      </c>
      <c r="E146" s="23">
        <v>16.399999999999999</v>
      </c>
      <c r="F146" s="24"/>
      <c r="G146" s="25">
        <f t="shared" si="10"/>
        <v>-16.399999999999999</v>
      </c>
      <c r="H146" s="26">
        <f t="shared" si="11"/>
        <v>-1</v>
      </c>
      <c r="I146" s="27"/>
      <c r="J146" s="25"/>
    </row>
    <row r="147" spans="1:10" x14ac:dyDescent="0.25">
      <c r="A147" s="23" t="s">
        <v>23</v>
      </c>
      <c r="B147" s="23" t="s">
        <v>344</v>
      </c>
      <c r="C147" s="23" t="s">
        <v>345</v>
      </c>
      <c r="D147" s="23" t="s">
        <v>14</v>
      </c>
      <c r="E147" s="23">
        <v>225.7</v>
      </c>
      <c r="F147" s="24"/>
      <c r="G147" s="25">
        <f t="shared" si="10"/>
        <v>-225.7</v>
      </c>
      <c r="H147" s="26">
        <f t="shared" si="11"/>
        <v>-1</v>
      </c>
      <c r="I147" s="27"/>
      <c r="J147" s="25"/>
    </row>
    <row r="148" spans="1:10" x14ac:dyDescent="0.25">
      <c r="A148" s="23" t="s">
        <v>23</v>
      </c>
      <c r="B148" s="23" t="s">
        <v>346</v>
      </c>
      <c r="C148" s="23" t="s">
        <v>347</v>
      </c>
      <c r="D148" s="23" t="s">
        <v>26</v>
      </c>
      <c r="E148" s="23">
        <v>373.5</v>
      </c>
      <c r="F148" s="24"/>
      <c r="G148" s="25">
        <f t="shared" si="10"/>
        <v>-373.5</v>
      </c>
      <c r="H148" s="26">
        <f t="shared" si="11"/>
        <v>-1</v>
      </c>
      <c r="I148" s="27"/>
      <c r="J148" s="25"/>
    </row>
    <row r="149" spans="1:10" x14ac:dyDescent="0.25">
      <c r="A149" s="23" t="s">
        <v>23</v>
      </c>
      <c r="B149" s="23" t="s">
        <v>348</v>
      </c>
      <c r="C149" s="23" t="s">
        <v>349</v>
      </c>
      <c r="D149" s="23" t="s">
        <v>26</v>
      </c>
      <c r="E149" s="23">
        <v>62.2</v>
      </c>
      <c r="F149" s="24"/>
      <c r="G149" s="25">
        <f t="shared" si="10"/>
        <v>-62.2</v>
      </c>
      <c r="H149" s="26">
        <f t="shared" si="11"/>
        <v>-1</v>
      </c>
      <c r="I149" s="27"/>
      <c r="J149" s="25"/>
    </row>
    <row r="150" spans="1:10" x14ac:dyDescent="0.25">
      <c r="A150" s="23" t="s">
        <v>23</v>
      </c>
      <c r="B150" s="23" t="s">
        <v>350</v>
      </c>
      <c r="C150" s="23" t="s">
        <v>351</v>
      </c>
      <c r="D150" s="23" t="s">
        <v>26</v>
      </c>
      <c r="E150" s="23">
        <v>90.4</v>
      </c>
      <c r="F150" s="24"/>
      <c r="G150" s="25">
        <f t="shared" si="10"/>
        <v>-90.4</v>
      </c>
      <c r="H150" s="26">
        <f t="shared" si="11"/>
        <v>-1</v>
      </c>
      <c r="I150" s="27"/>
      <c r="J150" s="25"/>
    </row>
    <row r="151" spans="1:10" x14ac:dyDescent="0.25">
      <c r="A151" s="23" t="s">
        <v>23</v>
      </c>
      <c r="B151" s="23" t="s">
        <v>352</v>
      </c>
      <c r="C151" s="23" t="s">
        <v>353</v>
      </c>
      <c r="D151" s="23" t="s">
        <v>26</v>
      </c>
      <c r="E151" s="23">
        <v>125.8</v>
      </c>
      <c r="F151" s="24"/>
      <c r="G151" s="25">
        <f t="shared" si="10"/>
        <v>-125.8</v>
      </c>
      <c r="H151" s="26">
        <f t="shared" si="11"/>
        <v>-1</v>
      </c>
      <c r="I151" s="27"/>
      <c r="J151" s="25"/>
    </row>
    <row r="152" spans="1:10" x14ac:dyDescent="0.25">
      <c r="A152" s="23" t="s">
        <v>46</v>
      </c>
      <c r="B152" s="23" t="s">
        <v>354</v>
      </c>
      <c r="C152" s="23" t="s">
        <v>355</v>
      </c>
      <c r="D152" s="23" t="s">
        <v>22</v>
      </c>
      <c r="E152" s="23">
        <v>19.899999999999999</v>
      </c>
      <c r="F152" s="24"/>
      <c r="G152" s="25">
        <f t="shared" si="10"/>
        <v>-19.899999999999999</v>
      </c>
      <c r="H152" s="26">
        <f t="shared" si="11"/>
        <v>-1</v>
      </c>
      <c r="I152" s="27"/>
      <c r="J152" s="25"/>
    </row>
    <row r="153" spans="1:10" x14ac:dyDescent="0.25">
      <c r="A153" s="23" t="s">
        <v>23</v>
      </c>
      <c r="B153" s="23" t="s">
        <v>356</v>
      </c>
      <c r="C153" s="23" t="s">
        <v>357</v>
      </c>
      <c r="D153" s="23" t="s">
        <v>14</v>
      </c>
      <c r="E153" s="23">
        <v>57.5</v>
      </c>
      <c r="F153" s="24"/>
      <c r="G153" s="25">
        <f t="shared" si="10"/>
        <v>-57.5</v>
      </c>
      <c r="H153" s="26">
        <f t="shared" si="11"/>
        <v>-1</v>
      </c>
      <c r="I153" s="27"/>
      <c r="J153" s="25"/>
    </row>
    <row r="154" spans="1:10" x14ac:dyDescent="0.25">
      <c r="A154" s="23" t="s">
        <v>23</v>
      </c>
      <c r="B154" s="23" t="s">
        <v>357</v>
      </c>
      <c r="C154" s="23" t="s">
        <v>358</v>
      </c>
      <c r="D154" s="23" t="s">
        <v>26</v>
      </c>
      <c r="E154" s="23">
        <v>208.8</v>
      </c>
      <c r="F154" s="24"/>
      <c r="G154" s="25">
        <f t="shared" si="10"/>
        <v>-208.8</v>
      </c>
      <c r="H154" s="26">
        <f t="shared" si="11"/>
        <v>-1</v>
      </c>
      <c r="I154" s="27"/>
      <c r="J154" s="25"/>
    </row>
    <row r="155" spans="1:10" x14ac:dyDescent="0.25">
      <c r="A155" s="23" t="s">
        <v>23</v>
      </c>
      <c r="B155" s="23" t="s">
        <v>358</v>
      </c>
      <c r="C155" s="23" t="s">
        <v>359</v>
      </c>
      <c r="D155" s="23" t="s">
        <v>26</v>
      </c>
      <c r="E155" s="23">
        <v>338.3</v>
      </c>
      <c r="F155" s="24"/>
      <c r="G155" s="25">
        <f t="shared" si="10"/>
        <v>-338.3</v>
      </c>
      <c r="H155" s="26">
        <f t="shared" si="11"/>
        <v>-1</v>
      </c>
      <c r="I155" s="27"/>
      <c r="J155" s="25"/>
    </row>
    <row r="156" spans="1:10" x14ac:dyDescent="0.25">
      <c r="A156" s="23" t="s">
        <v>23</v>
      </c>
      <c r="B156" s="23" t="s">
        <v>360</v>
      </c>
      <c r="C156" s="23" t="s">
        <v>361</v>
      </c>
      <c r="D156" s="23" t="s">
        <v>14</v>
      </c>
      <c r="E156" s="23">
        <v>210</v>
      </c>
      <c r="F156" s="24"/>
      <c r="G156" s="25">
        <f t="shared" si="10"/>
        <v>-210</v>
      </c>
      <c r="H156" s="26">
        <f t="shared" si="11"/>
        <v>-1</v>
      </c>
      <c r="I156" s="27"/>
      <c r="J156" s="25"/>
    </row>
    <row r="157" spans="1:10" x14ac:dyDescent="0.25">
      <c r="A157" s="23" t="s">
        <v>46</v>
      </c>
      <c r="B157" s="23" t="s">
        <v>362</v>
      </c>
      <c r="C157" s="23" t="s">
        <v>363</v>
      </c>
      <c r="D157" s="23" t="s">
        <v>14</v>
      </c>
      <c r="E157" s="23">
        <v>32.4</v>
      </c>
      <c r="F157" s="24"/>
      <c r="G157" s="25">
        <f t="shared" si="10"/>
        <v>-32.4</v>
      </c>
      <c r="H157" s="26">
        <f t="shared" si="11"/>
        <v>-1</v>
      </c>
      <c r="I157" s="27"/>
      <c r="J157" s="25"/>
    </row>
    <row r="158" spans="1:10" x14ac:dyDescent="0.25">
      <c r="A158" s="23" t="s">
        <v>23</v>
      </c>
      <c r="B158" s="23" t="s">
        <v>364</v>
      </c>
      <c r="C158" s="23" t="s">
        <v>365</v>
      </c>
      <c r="D158" s="23" t="s">
        <v>14</v>
      </c>
      <c r="E158" s="23">
        <v>59.9</v>
      </c>
      <c r="F158" s="24"/>
      <c r="G158" s="25">
        <f t="shared" si="10"/>
        <v>-59.9</v>
      </c>
      <c r="H158" s="26">
        <f t="shared" si="11"/>
        <v>-1</v>
      </c>
      <c r="I158" s="27"/>
      <c r="J158" s="25"/>
    </row>
    <row r="159" spans="1:10" x14ac:dyDescent="0.25">
      <c r="A159" s="23" t="s">
        <v>23</v>
      </c>
      <c r="B159" s="23" t="s">
        <v>366</v>
      </c>
      <c r="C159" s="23" t="s">
        <v>367</v>
      </c>
      <c r="D159" s="23" t="s">
        <v>14</v>
      </c>
      <c r="E159" s="23">
        <v>57.4</v>
      </c>
      <c r="F159" s="24"/>
      <c r="G159" s="25">
        <f t="shared" si="10"/>
        <v>-57.4</v>
      </c>
      <c r="H159" s="26">
        <f t="shared" si="11"/>
        <v>-1</v>
      </c>
      <c r="I159" s="27"/>
      <c r="J159" s="25"/>
    </row>
    <row r="160" spans="1:10" x14ac:dyDescent="0.25">
      <c r="A160" s="23" t="s">
        <v>23</v>
      </c>
      <c r="B160" s="23" t="s">
        <v>368</v>
      </c>
      <c r="C160" s="23" t="s">
        <v>369</v>
      </c>
      <c r="D160" s="23" t="s">
        <v>14</v>
      </c>
      <c r="E160" s="23">
        <v>35.4</v>
      </c>
      <c r="F160" s="24"/>
      <c r="G160" s="25">
        <f t="shared" si="10"/>
        <v>-35.4</v>
      </c>
      <c r="H160" s="26">
        <f t="shared" si="11"/>
        <v>-1</v>
      </c>
      <c r="I160" s="27"/>
      <c r="J160" s="25"/>
    </row>
    <row r="161" spans="1:10" x14ac:dyDescent="0.25">
      <c r="A161" s="23" t="s">
        <v>23</v>
      </c>
      <c r="B161" s="23" t="s">
        <v>370</v>
      </c>
      <c r="C161" s="23" t="s">
        <v>371</v>
      </c>
      <c r="D161" s="23" t="s">
        <v>14</v>
      </c>
      <c r="E161" s="23">
        <v>220.9</v>
      </c>
      <c r="F161" s="24"/>
      <c r="G161" s="25">
        <f t="shared" si="10"/>
        <v>-220.9</v>
      </c>
      <c r="H161" s="26">
        <f t="shared" si="11"/>
        <v>-1</v>
      </c>
      <c r="I161" s="27"/>
      <c r="J161" s="25"/>
    </row>
    <row r="162" spans="1:10" x14ac:dyDescent="0.25">
      <c r="A162" s="23" t="s">
        <v>23</v>
      </c>
      <c r="B162" s="23" t="s">
        <v>372</v>
      </c>
      <c r="C162" s="23" t="s">
        <v>373</v>
      </c>
      <c r="D162" s="23" t="s">
        <v>26</v>
      </c>
      <c r="E162" s="23">
        <v>112.3</v>
      </c>
      <c r="F162" s="24"/>
      <c r="G162" s="25">
        <f t="shared" si="10"/>
        <v>-112.3</v>
      </c>
      <c r="H162" s="26">
        <f t="shared" si="11"/>
        <v>-1</v>
      </c>
      <c r="I162" s="27"/>
      <c r="J162" s="25"/>
    </row>
    <row r="163" spans="1:10" x14ac:dyDescent="0.25">
      <c r="A163" s="23" t="s">
        <v>23</v>
      </c>
      <c r="B163" s="23" t="s">
        <v>374</v>
      </c>
      <c r="C163" s="23" t="s">
        <v>375</v>
      </c>
      <c r="D163" s="23" t="s">
        <v>26</v>
      </c>
      <c r="E163" s="23">
        <v>169.7</v>
      </c>
      <c r="F163" s="24"/>
      <c r="G163" s="25">
        <f t="shared" si="10"/>
        <v>-169.7</v>
      </c>
      <c r="H163" s="26">
        <f t="shared" si="11"/>
        <v>-1</v>
      </c>
      <c r="I163" s="27"/>
      <c r="J163" s="25"/>
    </row>
    <row r="164" spans="1:10" x14ac:dyDescent="0.25">
      <c r="A164" s="23" t="s">
        <v>23</v>
      </c>
      <c r="B164" s="23" t="s">
        <v>376</v>
      </c>
      <c r="C164" s="23" t="s">
        <v>377</v>
      </c>
      <c r="D164" s="23" t="s">
        <v>26</v>
      </c>
      <c r="E164" s="23">
        <v>52.5</v>
      </c>
      <c r="F164" s="24"/>
      <c r="G164" s="25">
        <f t="shared" si="10"/>
        <v>-52.5</v>
      </c>
      <c r="H164" s="26">
        <f t="shared" si="11"/>
        <v>-1</v>
      </c>
      <c r="I164" s="27"/>
      <c r="J164" s="25"/>
    </row>
    <row r="165" spans="1:10" x14ac:dyDescent="0.25">
      <c r="A165" s="23" t="s">
        <v>241</v>
      </c>
      <c r="B165" s="23" t="s">
        <v>378</v>
      </c>
      <c r="C165" s="23" t="s">
        <v>379</v>
      </c>
      <c r="D165" s="23" t="s">
        <v>22</v>
      </c>
      <c r="E165" s="23">
        <v>344.8</v>
      </c>
      <c r="F165" s="24"/>
      <c r="G165" s="25">
        <f t="shared" si="10"/>
        <v>-344.8</v>
      </c>
      <c r="H165" s="26">
        <f t="shared" si="11"/>
        <v>-1</v>
      </c>
      <c r="I165" s="27"/>
      <c r="J165" s="25"/>
    </row>
    <row r="166" spans="1:10" x14ac:dyDescent="0.25">
      <c r="A166" s="23" t="s">
        <v>23</v>
      </c>
      <c r="B166" s="23" t="s">
        <v>380</v>
      </c>
      <c r="C166" s="23" t="s">
        <v>381</v>
      </c>
      <c r="D166" s="23" t="s">
        <v>26</v>
      </c>
      <c r="E166" s="23">
        <v>208</v>
      </c>
      <c r="F166" s="24"/>
      <c r="G166" s="25">
        <f t="shared" si="10"/>
        <v>-208</v>
      </c>
      <c r="H166" s="26">
        <f t="shared" si="11"/>
        <v>-1</v>
      </c>
      <c r="I166" s="27"/>
      <c r="J166" s="25"/>
    </row>
    <row r="167" spans="1:10" x14ac:dyDescent="0.25">
      <c r="A167" s="23" t="s">
        <v>23</v>
      </c>
      <c r="B167" s="23" t="s">
        <v>382</v>
      </c>
      <c r="C167" s="23" t="s">
        <v>383</v>
      </c>
      <c r="D167" s="23" t="s">
        <v>14</v>
      </c>
      <c r="E167" s="23">
        <v>44</v>
      </c>
      <c r="F167" s="24"/>
      <c r="G167" s="25">
        <f t="shared" si="10"/>
        <v>-44</v>
      </c>
      <c r="H167" s="26">
        <f t="shared" si="11"/>
        <v>-1</v>
      </c>
      <c r="I167" s="27"/>
      <c r="J167" s="25"/>
    </row>
    <row r="168" spans="1:10" x14ac:dyDescent="0.25">
      <c r="A168" s="23" t="s">
        <v>23</v>
      </c>
      <c r="B168" s="23" t="s">
        <v>384</v>
      </c>
      <c r="C168" s="23" t="s">
        <v>385</v>
      </c>
      <c r="D168" s="23" t="s">
        <v>14</v>
      </c>
      <c r="E168" s="23">
        <v>197.8</v>
      </c>
      <c r="F168" s="24"/>
      <c r="G168" s="25">
        <f t="shared" si="10"/>
        <v>-197.8</v>
      </c>
      <c r="H168" s="26">
        <f t="shared" si="11"/>
        <v>-1</v>
      </c>
      <c r="I168" s="27"/>
      <c r="J168" s="25"/>
    </row>
    <row r="169" spans="1:10" x14ac:dyDescent="0.25">
      <c r="A169" s="23" t="s">
        <v>23</v>
      </c>
      <c r="B169" s="23" t="s">
        <v>386</v>
      </c>
      <c r="C169" s="23" t="s">
        <v>387</v>
      </c>
      <c r="D169" s="23" t="s">
        <v>14</v>
      </c>
      <c r="E169" s="23">
        <v>61</v>
      </c>
      <c r="F169" s="24"/>
      <c r="G169" s="25">
        <f t="shared" ref="G169:G200" si="12">F169-E169</f>
        <v>-61</v>
      </c>
      <c r="H169" s="26">
        <f t="shared" ref="H169:H196" si="13">IF(AND(E169&gt;0,F169&gt;0),(F169/E169)-1,IF(AND(E169=0,F169&gt;0),1-(E169/F169),IF(AND(E169&gt;0,F169=0),(F169/E169)-1)))</f>
        <v>-1</v>
      </c>
      <c r="I169" s="27"/>
      <c r="J169" s="25"/>
    </row>
    <row r="170" spans="1:10" x14ac:dyDescent="0.25">
      <c r="A170" s="23" t="s">
        <v>23</v>
      </c>
      <c r="B170" s="23" t="s">
        <v>387</v>
      </c>
      <c r="C170" s="23" t="s">
        <v>388</v>
      </c>
      <c r="D170" s="23" t="s">
        <v>26</v>
      </c>
      <c r="E170" s="23">
        <v>194.2</v>
      </c>
      <c r="F170" s="24"/>
      <c r="G170" s="25">
        <f t="shared" si="12"/>
        <v>-194.2</v>
      </c>
      <c r="H170" s="26">
        <f t="shared" si="13"/>
        <v>-1</v>
      </c>
      <c r="I170" s="27"/>
      <c r="J170" s="25"/>
    </row>
    <row r="171" spans="1:10" x14ac:dyDescent="0.25">
      <c r="A171" s="23" t="s">
        <v>23</v>
      </c>
      <c r="B171" s="23" t="s">
        <v>388</v>
      </c>
      <c r="C171" s="23" t="s">
        <v>389</v>
      </c>
      <c r="D171" s="23" t="s">
        <v>26</v>
      </c>
      <c r="E171" s="23">
        <v>325.3</v>
      </c>
      <c r="F171" s="24"/>
      <c r="G171" s="25">
        <f t="shared" si="12"/>
        <v>-325.3</v>
      </c>
      <c r="H171" s="26">
        <f t="shared" si="13"/>
        <v>-1</v>
      </c>
      <c r="I171" s="27"/>
      <c r="J171" s="25"/>
    </row>
    <row r="172" spans="1:10" x14ac:dyDescent="0.25">
      <c r="A172" s="23" t="s">
        <v>210</v>
      </c>
      <c r="B172" s="23" t="s">
        <v>390</v>
      </c>
      <c r="C172" s="23" t="s">
        <v>391</v>
      </c>
      <c r="D172" s="23" t="s">
        <v>22</v>
      </c>
      <c r="E172" s="23">
        <v>72.2</v>
      </c>
      <c r="F172" s="24"/>
      <c r="G172" s="25">
        <f t="shared" si="12"/>
        <v>-72.2</v>
      </c>
      <c r="H172" s="26">
        <f t="shared" si="13"/>
        <v>-1</v>
      </c>
      <c r="I172" s="27"/>
      <c r="J172" s="25"/>
    </row>
    <row r="173" spans="1:10" x14ac:dyDescent="0.25">
      <c r="A173" s="23" t="s">
        <v>23</v>
      </c>
      <c r="B173" s="23" t="s">
        <v>392</v>
      </c>
      <c r="C173" s="23" t="s">
        <v>393</v>
      </c>
      <c r="D173" s="23" t="s">
        <v>26</v>
      </c>
      <c r="E173" s="23">
        <v>44</v>
      </c>
      <c r="F173" s="24"/>
      <c r="G173" s="25">
        <f t="shared" si="12"/>
        <v>-44</v>
      </c>
      <c r="H173" s="26">
        <f t="shared" si="13"/>
        <v>-1</v>
      </c>
      <c r="I173" s="27"/>
      <c r="J173" s="25"/>
    </row>
    <row r="174" spans="1:10" x14ac:dyDescent="0.25">
      <c r="A174" s="23" t="s">
        <v>181</v>
      </c>
      <c r="B174" s="23" t="s">
        <v>394</v>
      </c>
      <c r="C174" s="23" t="s">
        <v>395</v>
      </c>
      <c r="D174" s="23" t="s">
        <v>22</v>
      </c>
      <c r="E174" s="23">
        <v>148.6</v>
      </c>
      <c r="F174" s="24"/>
      <c r="G174" s="25">
        <f t="shared" si="12"/>
        <v>-148.6</v>
      </c>
      <c r="H174" s="26">
        <f t="shared" si="13"/>
        <v>-1</v>
      </c>
      <c r="I174" s="27"/>
      <c r="J174" s="25"/>
    </row>
    <row r="175" spans="1:10" x14ac:dyDescent="0.25">
      <c r="A175" s="23" t="s">
        <v>23</v>
      </c>
      <c r="B175" s="23" t="s">
        <v>393</v>
      </c>
      <c r="C175" s="23" t="s">
        <v>396</v>
      </c>
      <c r="D175" s="23" t="s">
        <v>26</v>
      </c>
      <c r="E175" s="23">
        <v>782.5</v>
      </c>
      <c r="F175" s="24"/>
      <c r="G175" s="25">
        <f t="shared" si="12"/>
        <v>-782.5</v>
      </c>
      <c r="H175" s="26">
        <f t="shared" si="13"/>
        <v>-1</v>
      </c>
      <c r="I175" s="27"/>
      <c r="J175" s="25"/>
    </row>
    <row r="176" spans="1:10" x14ac:dyDescent="0.25">
      <c r="A176" s="23" t="s">
        <v>46</v>
      </c>
      <c r="B176" s="23" t="s">
        <v>397</v>
      </c>
      <c r="C176" s="23" t="s">
        <v>398</v>
      </c>
      <c r="D176" s="23" t="s">
        <v>14</v>
      </c>
      <c r="E176" s="23">
        <v>37.200000000000003</v>
      </c>
      <c r="F176" s="24"/>
      <c r="G176" s="25">
        <f t="shared" si="12"/>
        <v>-37.200000000000003</v>
      </c>
      <c r="H176" s="26">
        <f t="shared" si="13"/>
        <v>-1</v>
      </c>
      <c r="I176" s="27"/>
      <c r="J176" s="25"/>
    </row>
    <row r="177" spans="1:10" x14ac:dyDescent="0.25">
      <c r="A177" s="23" t="s">
        <v>23</v>
      </c>
      <c r="B177" s="23" t="s">
        <v>399</v>
      </c>
      <c r="C177" s="23" t="s">
        <v>400</v>
      </c>
      <c r="D177" s="23" t="s">
        <v>14</v>
      </c>
      <c r="E177" s="23">
        <v>280.8</v>
      </c>
      <c r="F177" s="24"/>
      <c r="G177" s="25">
        <f t="shared" si="12"/>
        <v>-280.8</v>
      </c>
      <c r="H177" s="26">
        <f t="shared" si="13"/>
        <v>-1</v>
      </c>
      <c r="I177" s="27"/>
      <c r="J177" s="25"/>
    </row>
    <row r="178" spans="1:10" x14ac:dyDescent="0.25">
      <c r="A178" s="23" t="s">
        <v>401</v>
      </c>
      <c r="B178" s="23" t="s">
        <v>402</v>
      </c>
      <c r="C178" s="23" t="s">
        <v>403</v>
      </c>
      <c r="D178" s="23" t="s">
        <v>22</v>
      </c>
      <c r="E178" s="23">
        <v>13</v>
      </c>
      <c r="F178" s="24"/>
      <c r="G178" s="25">
        <f t="shared" si="12"/>
        <v>-13</v>
      </c>
      <c r="H178" s="26">
        <f t="shared" si="13"/>
        <v>-1</v>
      </c>
      <c r="I178" s="27"/>
      <c r="J178" s="25"/>
    </row>
    <row r="179" spans="1:10" x14ac:dyDescent="0.25">
      <c r="A179" s="23" t="s">
        <v>404</v>
      </c>
      <c r="B179" s="23" t="s">
        <v>405</v>
      </c>
      <c r="C179" s="23" t="s">
        <v>406</v>
      </c>
      <c r="D179" s="23" t="s">
        <v>22</v>
      </c>
      <c r="E179" s="23">
        <v>34.5</v>
      </c>
      <c r="F179" s="24"/>
      <c r="G179" s="25">
        <f t="shared" si="12"/>
        <v>-34.5</v>
      </c>
      <c r="H179" s="26">
        <f t="shared" si="13"/>
        <v>-1</v>
      </c>
      <c r="I179" s="27"/>
      <c r="J179" s="25"/>
    </row>
    <row r="180" spans="1:10" x14ac:dyDescent="0.25">
      <c r="A180" s="23" t="s">
        <v>264</v>
      </c>
      <c r="B180" s="23" t="s">
        <v>407</v>
      </c>
      <c r="C180" s="23" t="s">
        <v>408</v>
      </c>
      <c r="D180" s="23" t="s">
        <v>14</v>
      </c>
      <c r="E180" s="23">
        <v>12.7</v>
      </c>
      <c r="F180" s="24"/>
      <c r="G180" s="25">
        <f t="shared" si="12"/>
        <v>-12.7</v>
      </c>
      <c r="H180" s="26">
        <f t="shared" si="13"/>
        <v>-1</v>
      </c>
      <c r="I180" s="27"/>
      <c r="J180" s="25"/>
    </row>
    <row r="181" spans="1:10" x14ac:dyDescent="0.25">
      <c r="A181" s="23" t="s">
        <v>23</v>
      </c>
      <c r="B181" s="23" t="s">
        <v>408</v>
      </c>
      <c r="C181" s="23" t="s">
        <v>409</v>
      </c>
      <c r="D181" s="23" t="s">
        <v>14</v>
      </c>
      <c r="E181" s="23">
        <v>52.5</v>
      </c>
      <c r="F181" s="24"/>
      <c r="G181" s="25">
        <f t="shared" si="12"/>
        <v>-52.5</v>
      </c>
      <c r="H181" s="26">
        <f t="shared" si="13"/>
        <v>-1</v>
      </c>
      <c r="I181" s="27"/>
      <c r="J181" s="25"/>
    </row>
    <row r="182" spans="1:10" x14ac:dyDescent="0.25">
      <c r="A182" s="23" t="s">
        <v>213</v>
      </c>
      <c r="B182" s="23" t="s">
        <v>410</v>
      </c>
      <c r="C182" s="23" t="s">
        <v>411</v>
      </c>
      <c r="D182" s="23" t="s">
        <v>22</v>
      </c>
      <c r="E182" s="23">
        <v>64.8</v>
      </c>
      <c r="F182" s="24"/>
      <c r="G182" s="25">
        <f t="shared" si="12"/>
        <v>-64.8</v>
      </c>
      <c r="H182" s="26">
        <f t="shared" si="13"/>
        <v>-1</v>
      </c>
      <c r="I182" s="27"/>
      <c r="J182" s="25"/>
    </row>
    <row r="183" spans="1:10" x14ac:dyDescent="0.25">
      <c r="A183" s="23" t="s">
        <v>219</v>
      </c>
      <c r="B183" s="23" t="s">
        <v>412</v>
      </c>
      <c r="C183" s="23" t="s">
        <v>413</v>
      </c>
      <c r="D183" s="23" t="s">
        <v>22</v>
      </c>
      <c r="E183" s="23">
        <v>62.8</v>
      </c>
      <c r="F183" s="24"/>
      <c r="G183" s="25">
        <f t="shared" si="12"/>
        <v>-62.8</v>
      </c>
      <c r="H183" s="26">
        <f t="shared" si="13"/>
        <v>-1</v>
      </c>
      <c r="I183" s="27"/>
      <c r="J183" s="25"/>
    </row>
    <row r="184" spans="1:10" x14ac:dyDescent="0.25">
      <c r="A184" s="23" t="s">
        <v>46</v>
      </c>
      <c r="B184" s="23" t="s">
        <v>414</v>
      </c>
      <c r="C184" s="23" t="s">
        <v>415</v>
      </c>
      <c r="D184" s="23" t="s">
        <v>14</v>
      </c>
      <c r="E184" s="23">
        <v>42.8</v>
      </c>
      <c r="F184" s="24"/>
      <c r="G184" s="25">
        <f t="shared" si="12"/>
        <v>-42.8</v>
      </c>
      <c r="H184" s="26">
        <f t="shared" si="13"/>
        <v>-1</v>
      </c>
      <c r="I184" s="27"/>
      <c r="J184" s="25"/>
    </row>
    <row r="185" spans="1:10" x14ac:dyDescent="0.25">
      <c r="A185" s="23" t="s">
        <v>416</v>
      </c>
      <c r="B185" s="23" t="s">
        <v>417</v>
      </c>
      <c r="C185" s="23" t="s">
        <v>418</v>
      </c>
      <c r="D185" s="23" t="s">
        <v>22</v>
      </c>
      <c r="E185" s="23">
        <v>57.7</v>
      </c>
      <c r="F185" s="24"/>
      <c r="G185" s="25">
        <f t="shared" si="12"/>
        <v>-57.7</v>
      </c>
      <c r="H185" s="26">
        <f t="shared" si="13"/>
        <v>-1</v>
      </c>
      <c r="I185" s="27"/>
      <c r="J185" s="25"/>
    </row>
    <row r="186" spans="1:10" x14ac:dyDescent="0.25">
      <c r="A186" s="23" t="s">
        <v>19</v>
      </c>
      <c r="B186" s="23" t="s">
        <v>419</v>
      </c>
      <c r="C186" s="23" t="s">
        <v>420</v>
      </c>
      <c r="D186" s="23" t="s">
        <v>22</v>
      </c>
      <c r="E186" s="23">
        <v>77.400000000000006</v>
      </c>
      <c r="F186" s="24"/>
      <c r="G186" s="25">
        <f t="shared" si="12"/>
        <v>-77.400000000000006</v>
      </c>
      <c r="H186" s="26">
        <f t="shared" si="13"/>
        <v>-1</v>
      </c>
      <c r="I186" s="27"/>
      <c r="J186" s="25"/>
    </row>
    <row r="187" spans="1:10" x14ac:dyDescent="0.25">
      <c r="A187" s="23" t="s">
        <v>27</v>
      </c>
      <c r="B187" s="23" t="s">
        <v>421</v>
      </c>
      <c r="C187" s="23" t="s">
        <v>422</v>
      </c>
      <c r="D187" s="23" t="s">
        <v>22</v>
      </c>
      <c r="E187" s="23">
        <v>196.6</v>
      </c>
      <c r="F187" s="24"/>
      <c r="G187" s="25">
        <f t="shared" si="12"/>
        <v>-196.6</v>
      </c>
      <c r="H187" s="26">
        <f t="shared" si="13"/>
        <v>-1</v>
      </c>
      <c r="I187" s="27"/>
      <c r="J187" s="25"/>
    </row>
    <row r="188" spans="1:10" x14ac:dyDescent="0.25">
      <c r="A188" s="23" t="s">
        <v>23</v>
      </c>
      <c r="B188" s="23" t="s">
        <v>423</v>
      </c>
      <c r="C188" s="23" t="s">
        <v>424</v>
      </c>
      <c r="D188" s="23" t="s">
        <v>14</v>
      </c>
      <c r="E188" s="23">
        <v>163.6</v>
      </c>
      <c r="F188" s="24"/>
      <c r="G188" s="25">
        <f t="shared" si="12"/>
        <v>-163.6</v>
      </c>
      <c r="H188" s="26">
        <f t="shared" si="13"/>
        <v>-1</v>
      </c>
      <c r="I188" s="27"/>
      <c r="J188" s="25"/>
    </row>
    <row r="189" spans="1:10" x14ac:dyDescent="0.25">
      <c r="A189" s="23" t="s">
        <v>23</v>
      </c>
      <c r="B189" s="23" t="s">
        <v>425</v>
      </c>
      <c r="C189" s="23" t="s">
        <v>426</v>
      </c>
      <c r="D189" s="23" t="s">
        <v>14</v>
      </c>
      <c r="E189" s="23">
        <v>654.6</v>
      </c>
      <c r="F189" s="24"/>
      <c r="G189" s="25">
        <f t="shared" si="12"/>
        <v>-654.6</v>
      </c>
      <c r="H189" s="26">
        <f t="shared" si="13"/>
        <v>-1</v>
      </c>
      <c r="I189" s="27"/>
      <c r="J189" s="25"/>
    </row>
    <row r="190" spans="1:10" x14ac:dyDescent="0.25">
      <c r="A190" s="23" t="s">
        <v>46</v>
      </c>
      <c r="B190" s="23" t="s">
        <v>427</v>
      </c>
      <c r="C190" s="23" t="s">
        <v>428</v>
      </c>
      <c r="D190" s="23" t="s">
        <v>22</v>
      </c>
      <c r="E190" s="23">
        <v>266.3</v>
      </c>
      <c r="F190" s="24"/>
      <c r="G190" s="25">
        <f t="shared" si="12"/>
        <v>-266.3</v>
      </c>
      <c r="H190" s="26">
        <f t="shared" si="13"/>
        <v>-1</v>
      </c>
      <c r="I190" s="27"/>
      <c r="J190" s="25"/>
    </row>
    <row r="191" spans="1:10" x14ac:dyDescent="0.25">
      <c r="A191" s="23" t="s">
        <v>23</v>
      </c>
      <c r="B191" s="23" t="s">
        <v>429</v>
      </c>
      <c r="C191" s="23" t="s">
        <v>430</v>
      </c>
      <c r="D191" s="23" t="s">
        <v>14</v>
      </c>
      <c r="E191" s="23">
        <v>179.6</v>
      </c>
      <c r="F191" s="24"/>
      <c r="G191" s="25">
        <f t="shared" si="12"/>
        <v>-179.6</v>
      </c>
      <c r="H191" s="26">
        <f t="shared" si="13"/>
        <v>-1</v>
      </c>
      <c r="I191" s="27"/>
      <c r="J191" s="25"/>
    </row>
    <row r="192" spans="1:10" x14ac:dyDescent="0.25">
      <c r="A192" s="23" t="s">
        <v>49</v>
      </c>
      <c r="B192" s="23" t="s">
        <v>431</v>
      </c>
      <c r="C192" s="23" t="s">
        <v>432</v>
      </c>
      <c r="D192" s="23" t="s">
        <v>22</v>
      </c>
      <c r="E192" s="23">
        <v>448.7</v>
      </c>
      <c r="F192" s="24"/>
      <c r="G192" s="25">
        <f t="shared" si="12"/>
        <v>-448.7</v>
      </c>
      <c r="H192" s="26">
        <f t="shared" si="13"/>
        <v>-1</v>
      </c>
      <c r="I192" s="27"/>
      <c r="J192" s="25"/>
    </row>
    <row r="193" spans="1:10" x14ac:dyDescent="0.25">
      <c r="A193" s="23" t="s">
        <v>23</v>
      </c>
      <c r="B193" s="23" t="s">
        <v>433</v>
      </c>
      <c r="C193" s="23" t="s">
        <v>434</v>
      </c>
      <c r="D193" s="23" t="s">
        <v>26</v>
      </c>
      <c r="E193" s="23">
        <v>875.4</v>
      </c>
      <c r="F193" s="24"/>
      <c r="G193" s="25">
        <f t="shared" si="12"/>
        <v>-875.4</v>
      </c>
      <c r="H193" s="26">
        <f t="shared" si="13"/>
        <v>-1</v>
      </c>
      <c r="I193" s="27"/>
      <c r="J193" s="25"/>
    </row>
    <row r="194" spans="1:10" x14ac:dyDescent="0.25">
      <c r="A194" s="23" t="s">
        <v>23</v>
      </c>
      <c r="B194" s="23" t="s">
        <v>435</v>
      </c>
      <c r="C194" s="23" t="s">
        <v>436</v>
      </c>
      <c r="D194" s="23" t="s">
        <v>26</v>
      </c>
      <c r="E194" s="23">
        <v>537.29999999999995</v>
      </c>
      <c r="F194" s="24"/>
      <c r="G194" s="25">
        <f t="shared" si="12"/>
        <v>-537.29999999999995</v>
      </c>
      <c r="H194" s="26">
        <f t="shared" si="13"/>
        <v>-1</v>
      </c>
      <c r="I194" s="27"/>
      <c r="J194" s="25"/>
    </row>
    <row r="195" spans="1:10" x14ac:dyDescent="0.25">
      <c r="A195" s="23" t="s">
        <v>38</v>
      </c>
      <c r="B195" s="23" t="s">
        <v>437</v>
      </c>
      <c r="C195" s="23" t="s">
        <v>438</v>
      </c>
      <c r="D195" s="23" t="s">
        <v>22</v>
      </c>
      <c r="E195" s="23">
        <v>500.4</v>
      </c>
      <c r="F195" s="24"/>
      <c r="G195" s="25">
        <f t="shared" si="12"/>
        <v>-500.4</v>
      </c>
      <c r="H195" s="26">
        <f t="shared" si="13"/>
        <v>-1</v>
      </c>
      <c r="I195" s="27"/>
      <c r="J195" s="25"/>
    </row>
    <row r="196" spans="1:10" x14ac:dyDescent="0.25">
      <c r="A196" s="28" t="s">
        <v>23</v>
      </c>
      <c r="B196" s="28" t="s">
        <v>439</v>
      </c>
      <c r="C196" s="28" t="s">
        <v>440</v>
      </c>
      <c r="D196" s="28" t="s">
        <v>14</v>
      </c>
      <c r="E196" s="28">
        <v>572.70000000000005</v>
      </c>
      <c r="F196" s="29"/>
      <c r="G196" s="30">
        <f t="shared" si="12"/>
        <v>-572.70000000000005</v>
      </c>
      <c r="H196" s="31">
        <f t="shared" si="13"/>
        <v>-1</v>
      </c>
      <c r="I196" s="32"/>
      <c r="J196" s="30"/>
    </row>
  </sheetData>
  <dataConsolidate/>
  <mergeCells count="6">
    <mergeCell ref="B6:J6"/>
    <mergeCell ref="A1:J1"/>
    <mergeCell ref="B2:J2"/>
    <mergeCell ref="B3:G3"/>
    <mergeCell ref="B4:G4"/>
    <mergeCell ref="B5:J5"/>
  </mergeCells>
  <printOptions horizontalCentered="1"/>
  <pageMargins left="0" right="0" top="0" bottom="0" header="0" footer="0"/>
  <pageSetup paperSize="9" scale="89" fitToHeight="8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Сентябрь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Dmitrii Prokofyev</cp:lastModifiedBy>
  <cp:lastPrinted>2020-09-23T05:07:20Z</cp:lastPrinted>
  <dcterms:created xsi:type="dcterms:W3CDTF">2017-01-26T10:07:28Z</dcterms:created>
  <dcterms:modified xsi:type="dcterms:W3CDTF">2021-03-08T15:12:45Z</dcterms:modified>
</cp:coreProperties>
</file>