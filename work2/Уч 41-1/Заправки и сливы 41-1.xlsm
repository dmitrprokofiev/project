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Dmitrii\Desktop\Работа\ОТЧЕТЫ\Уч 41-1\"/>
    </mc:Choice>
  </mc:AlternateContent>
  <xr:revisionPtr revIDLastSave="0" documentId="13_ncr:1_{93C11FE9-3F42-4431-84C5-C82817D85123}" xr6:coauthVersionLast="46" xr6:coauthVersionMax="46" xr10:uidLastSave="{00000000-0000-0000-0000-000000000000}"/>
  <bookViews>
    <workbookView xWindow="345" yWindow="345" windowWidth="15375" windowHeight="7875" xr2:uid="{00000000-000D-0000-FFFF-FFFF00000000}"/>
  </bookViews>
  <sheets>
    <sheet name="Сентябрь" sheetId="52" r:id="rId1"/>
  </sheets>
  <definedNames>
    <definedName name="_FilterDatabase" localSheetId="0" hidden="1">Сентябрь!$A$1:$J$8</definedName>
  </definedNames>
  <calcPr calcId="181029"/>
</workbook>
</file>

<file path=xl/calcChain.xml><?xml version="1.0" encoding="utf-8"?>
<calcChain xmlns="http://schemas.openxmlformats.org/spreadsheetml/2006/main">
  <c r="G9" i="52" l="1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1" i="52"/>
  <c r="G32" i="52"/>
  <c r="G33" i="52"/>
  <c r="G34" i="52"/>
  <c r="G35" i="52"/>
  <c r="G36" i="52"/>
  <c r="G37" i="52"/>
  <c r="H9" i="52"/>
  <c r="H10" i="52"/>
  <c r="H11" i="52"/>
  <c r="H12" i="52"/>
  <c r="H13" i="52"/>
  <c r="H14" i="52"/>
  <c r="H15" i="52"/>
  <c r="H16" i="52"/>
  <c r="H17" i="52"/>
  <c r="H18" i="52"/>
  <c r="H19" i="52"/>
  <c r="H20" i="52"/>
  <c r="H21" i="52"/>
  <c r="H22" i="52"/>
  <c r="H23" i="52"/>
  <c r="H24" i="52"/>
  <c r="H25" i="52"/>
  <c r="H26" i="52"/>
  <c r="H27" i="52"/>
  <c r="H28" i="52"/>
  <c r="H29" i="52"/>
  <c r="H30" i="52"/>
  <c r="H31" i="52"/>
  <c r="H32" i="52"/>
  <c r="H33" i="52"/>
  <c r="H34" i="52"/>
  <c r="H35" i="52"/>
  <c r="H36" i="52"/>
  <c r="H37" i="52"/>
  <c r="H8" i="52"/>
  <c r="G8" i="52"/>
</calcChain>
</file>

<file path=xl/sharedStrings.xml><?xml version="1.0" encoding="utf-8"?>
<sst xmlns="http://schemas.openxmlformats.org/spreadsheetml/2006/main" count="135" uniqueCount="101">
  <si>
    <t>Транспортное средство</t>
  </si>
  <si>
    <t>Время начала</t>
  </si>
  <si>
    <t>Время окончания</t>
  </si>
  <si>
    <t>Событие</t>
  </si>
  <si>
    <t>Объём, л</t>
  </si>
  <si>
    <t>Отчет:</t>
  </si>
  <si>
    <t>Период:</t>
  </si>
  <si>
    <t>Транспортные средства:</t>
  </si>
  <si>
    <t>Заправки и сливы</t>
  </si>
  <si>
    <t>Комментарий</t>
  </si>
  <si>
    <t>Заправочная ведомость, л</t>
  </si>
  <si>
    <t>Погрешность, л</t>
  </si>
  <si>
    <t>Погрешность, %</t>
  </si>
  <si>
    <t>"+" "-"</t>
  </si>
  <si>
    <t>Слив</t>
  </si>
  <si>
    <t>01.09.2020 00:00:00 - 06.09.2020 23:59:00 (UTC +03:00)</t>
  </si>
  <si>
    <t>Doosan Solar 420 LC-V [9875 са 63]</t>
  </si>
  <si>
    <t>01.09.2020 03:38:56</t>
  </si>
  <si>
    <t>01.09.2020 04:26:54</t>
  </si>
  <si>
    <t>Автокран УРАЛ-КС 55732 [А 297 СХ 763]</t>
  </si>
  <si>
    <t>06.03.2021 04:28:12</t>
  </si>
  <si>
    <t>06.03.2021 04:39:42</t>
  </si>
  <si>
    <t>Заправка</t>
  </si>
  <si>
    <t>ДЭК-401 [3526 се 63]</t>
  </si>
  <si>
    <t>06.03.2021 04:40:58</t>
  </si>
  <si>
    <t>06.03.2021 04:48:58</t>
  </si>
  <si>
    <t>Автобус УРАЛ-3255-5013-71 [В 589 МТ 89]</t>
  </si>
  <si>
    <t>06.03.2021 04:50:23</t>
  </si>
  <si>
    <t>06.03.2021 04:58:23</t>
  </si>
  <si>
    <t>Автобус ГАЗ-3295А1 [а 885 ун 763]</t>
  </si>
  <si>
    <t>06.03.2021 04:55:29</t>
  </si>
  <si>
    <t>06.03.2021 04:59:29</t>
  </si>
  <si>
    <t>Самосвал Камаз-65222 [р 254 ах 163]</t>
  </si>
  <si>
    <t>06.03.2021 04:58:08</t>
  </si>
  <si>
    <t>06.03.2021 04:59:38</t>
  </si>
  <si>
    <t>Передвижная мастерская ГАЗ 3034L6 [С 380 КН 163]</t>
  </si>
  <si>
    <t>06.03.2021 04:59:25</t>
  </si>
  <si>
    <t>06.03.2021 05:07:55</t>
  </si>
  <si>
    <t>Г/подъемник УРАЛ-4320-ВС 28У [Е 604 ТР 82]</t>
  </si>
  <si>
    <t>06.03.2021 05:08:41</t>
  </si>
  <si>
    <t>06.03.2021 05:18:11</t>
  </si>
  <si>
    <t>Легковой автомобиль Тойота Ланд Крузер 200 [О 008 ХХ 63]</t>
  </si>
  <si>
    <t>06.03.2021 05:11:35</t>
  </si>
  <si>
    <t>06.03.2021 05:15:05</t>
  </si>
  <si>
    <t>Автокран УРАЛ-КС 55732 [А 987 ТС 763]</t>
  </si>
  <si>
    <t>06.03.2021 05:19:46</t>
  </si>
  <si>
    <t>06.03.2021 05:26:46</t>
  </si>
  <si>
    <t>Автобус УРАЛ-3255-5013-71 [В 603 МТ 89]</t>
  </si>
  <si>
    <t>06.03.2021 05:20:04</t>
  </si>
  <si>
    <t>06.03.2021 05:28:04</t>
  </si>
  <si>
    <t>УРАЛ 4320 [Р 408 ТО 163]</t>
  </si>
  <si>
    <t>06.03.2021 05:20:12</t>
  </si>
  <si>
    <t>06.03.2021 05:24:42</t>
  </si>
  <si>
    <t>Водовоз УРАЛ-4320-УСТ 45322 [В 850 МТ 89]</t>
  </si>
  <si>
    <t>06.03.2021 05:28:12</t>
  </si>
  <si>
    <t>Сед.тягач УРАЛ-44202-0311-60 [В 740 МТ 89]</t>
  </si>
  <si>
    <t>06.03.2021 05:26:43</t>
  </si>
  <si>
    <t>06.03.2021 05:33:43</t>
  </si>
  <si>
    <t>Jcb 3CXS14M [1974 ак 63]</t>
  </si>
  <si>
    <t>06.03.2021 05:49:02</t>
  </si>
  <si>
    <t>06.03.2021 05:56:02</t>
  </si>
  <si>
    <t>ДЭК-401 [4814 ак 63]</t>
  </si>
  <si>
    <t>06.03.2021 06:47:28</t>
  </si>
  <si>
    <t>06.03.2021 06:53:28</t>
  </si>
  <si>
    <t>ТГ-122Я [7356 су 63]</t>
  </si>
  <si>
    <t>06.03.2021 06:57:07</t>
  </si>
  <si>
    <t>06.03.2021 07:02:37</t>
  </si>
  <si>
    <t>Shindaiwa [112154]</t>
  </si>
  <si>
    <t>06.03.2021 07:16:33</t>
  </si>
  <si>
    <t>06.03.2021 07:21:03</t>
  </si>
  <si>
    <t>Тарировка -  МЗКТ 7429 Волат  [7669 се 63]</t>
  </si>
  <si>
    <t>06.03.2021 07:40:42</t>
  </si>
  <si>
    <t>06.03.2021 07:46:42</t>
  </si>
  <si>
    <t>06.03.2021 11:53:08</t>
  </si>
  <si>
    <t>06.03.2021 12:01:08</t>
  </si>
  <si>
    <t>Т/заправщик УРАЛ-4671L6-11 [А 504 СХ 763]</t>
  </si>
  <si>
    <t>06.03.2021 12:46:23</t>
  </si>
  <si>
    <t>06.03.2021 13:05:53</t>
  </si>
  <si>
    <t>Залив</t>
  </si>
  <si>
    <t>Автобус УРАЛ-3255-5013-71 [В 479 МТ 89]</t>
  </si>
  <si>
    <t>06.03.2021 15:10:13</t>
  </si>
  <si>
    <t>06.03.2021 15:19:43</t>
  </si>
  <si>
    <t>06.03.2021 17:13:56</t>
  </si>
  <si>
    <t>06.03.2021 17:17:26</t>
  </si>
  <si>
    <t>06.03.2021 17:56:13</t>
  </si>
  <si>
    <t>06.03.2021 17:59:13</t>
  </si>
  <si>
    <t>06.03.2021 18:24:43</t>
  </si>
  <si>
    <t>06.03.2021 18:27:43</t>
  </si>
  <si>
    <t>Shindaiwa [112614]</t>
  </si>
  <si>
    <t>06.03.2021 18:26:30</t>
  </si>
  <si>
    <t>06.03.2021 18:31:00</t>
  </si>
  <si>
    <t>06.03.2021 18:40:23</t>
  </si>
  <si>
    <t>06.03.2021 18:44:53</t>
  </si>
  <si>
    <t>W.Neuson LTN8L [112455]</t>
  </si>
  <si>
    <t>06.03.2021 18:43:09</t>
  </si>
  <si>
    <t>06.03.2021 18:49:09</t>
  </si>
  <si>
    <t>W.Neuson LTN8L [112456]</t>
  </si>
  <si>
    <t>06.03.2021 18:47:10</t>
  </si>
  <si>
    <t>06.03.2021 18:53:10</t>
  </si>
  <si>
    <t>06.03.2021 19:10:54</t>
  </si>
  <si>
    <t>06.03.2021 19:18:54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</si>
</sst>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0" x14ac:knownFonts="1">
    <font>
      <sz val="11"/>
      <color indexed="8"/>
      <name val="Calibri"/>
      <family val="2"/>
      <scheme val="minor"/>
    </font>
    <font>
      <b/>
      <sz val="10"/>
      <name val="Arial"/>
      <family val="2"/>
      <charset val="204"/>
    </font>
    <font>
      <b/>
      <sz val="11"/>
      <name val="Calibri"/>
      <family val="2"/>
      <charset val="204"/>
    </font>
    <font>
      <sz val="11"/>
      <name val="Calibri"/>
      <family val="2"/>
      <charset val="204"/>
    </font>
    <font>
      <sz val="11"/>
      <name val="Calibri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5" fillId="0" borderId="0"/>
  </cellStyleXfs>
  <cellXfs count="33">
    <xf numFmtId="0" fontId="0" fillId="0" borderId="0" xfId="0"/>
    <xf numFmtId="10" fontId="0" fillId="0" borderId="0" xfId="0" applyNumberFormat="1" applyAlignment="1">
      <alignment horizontal="center"/>
    </xf>
    <xf numFmtId="0" fontId="0" fillId="0" borderId="0" xfId="0" applyAlignment="1"/>
    <xf numFmtId="10" fontId="0" fillId="0" borderId="0" xfId="0" applyNumberFormat="1" applyAlignment="1"/>
    <xf numFmtId="0" fontId="3" fillId="0" borderId="0" xfId="0" applyFont="1" applyAlignment="1">
      <alignment vertical="center" wrapText="1"/>
    </xf>
    <xf numFmtId="0" fontId="0" fillId="0" borderId="0" xfId="0" applyFill="1"/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1" fillId="0" borderId="1" xfId="0" applyFont="1" applyFill="1" applyBorder="1" applyAlignment="1">
      <alignment horizontal="center" vertical="center" wrapText="1"/>
    </xf>
    <xf numFmtId="164" fontId="6" fillId="0" borderId="2" xfId="0" applyNumberFormat="1" applyFont="1" applyFill="1" applyBorder="1" applyAlignment="1">
      <alignment horizontal="center" vertical="center" wrapText="1"/>
    </xf>
    <xf numFmtId="10" fontId="6" fillId="0" borderId="2" xfId="0" applyNumberFormat="1" applyFont="1" applyFill="1" applyBorder="1" applyAlignment="1">
      <alignment horizontal="center" vertical="center" wrapText="1"/>
    </xf>
    <xf numFmtId="0" fontId="1" fillId="0" borderId="3" xfId="0" applyFont="1" applyFill="1" applyBorder="1" applyAlignment="1">
      <alignment horizontal="center" vertical="center" wrapText="1"/>
    </xf>
    <xf numFmtId="164" fontId="8" fillId="0" borderId="5" xfId="0" applyNumberFormat="1" applyFont="1" applyFill="1" applyBorder="1"/>
    <xf numFmtId="164" fontId="7" fillId="0" borderId="4" xfId="0" applyNumberFormat="1" applyFont="1" applyFill="1" applyBorder="1" applyAlignment="1">
      <alignment vertical="top"/>
    </xf>
    <xf numFmtId="164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wrapText="1"/>
    </xf>
    <xf numFmtId="10" fontId="7" fillId="0" borderId="4" xfId="0" applyNumberFormat="1" applyFont="1" applyFill="1" applyBorder="1" applyAlignment="1">
      <alignment horizontal="center" wrapText="1"/>
    </xf>
    <xf numFmtId="0" fontId="0" fillId="0" borderId="0" xfId="0"/>
    <xf numFmtId="10" fontId="0" fillId="0" borderId="0" xfId="0" applyNumberFormat="1"/>
    <xf numFmtId="0" fontId="2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164" fontId="9" fillId="0" borderId="5" xfId="0" applyNumberFormat="1" applyFont="1" applyFill="1" applyBorder="1"/>
    <xf numFmtId="164" fontId="9" fillId="0" borderId="6" xfId="0" applyNumberFormat="1" applyFont="1" applyFill="1" applyBorder="1" applyAlignment="1">
      <alignment vertical="top"/>
    </xf>
    <xf numFmtId="164" fontId="9" fillId="0" borderId="6" xfId="0" applyNumberFormat="1" applyFont="1" applyFill="1" applyBorder="1" applyAlignment="1">
      <alignment wrapText="1"/>
    </xf>
    <xf numFmtId="10" fontId="9" fillId="0" borderId="6" xfId="0" applyNumberFormat="1" applyFont="1" applyFill="1" applyBorder="1" applyAlignment="1">
      <alignment wrapText="1"/>
    </xf>
    <xf numFmtId="10" fontId="9" fillId="0" borderId="6" xfId="0" applyNumberFormat="1" applyFont="1" applyFill="1" applyBorder="1" applyAlignment="1">
      <alignment horizontal="center" wrapText="1"/>
    </xf>
    <xf numFmtId="164" fontId="9" fillId="0" borderId="7" xfId="0" applyNumberFormat="1" applyFont="1" applyFill="1" applyBorder="1"/>
    <xf numFmtId="164" fontId="9" fillId="0" borderId="8" xfId="0" applyNumberFormat="1" applyFont="1" applyFill="1" applyBorder="1" applyAlignment="1">
      <alignment vertical="top"/>
    </xf>
    <xf numFmtId="164" fontId="9" fillId="0" borderId="8" xfId="0" applyNumberFormat="1" applyFont="1" applyFill="1" applyBorder="1" applyAlignment="1">
      <alignment wrapText="1"/>
    </xf>
    <xf numFmtId="10" fontId="9" fillId="0" borderId="8" xfId="0" applyNumberFormat="1" applyFont="1" applyFill="1" applyBorder="1" applyAlignment="1">
      <alignment wrapText="1"/>
    </xf>
    <xf numFmtId="10" fontId="9" fillId="0" borderId="8" xfId="0" applyNumberFormat="1" applyFont="1" applyFill="1" applyBorder="1" applyAlignment="1">
      <alignment horizontal="center" wrapText="1"/>
    </xf>
  </cellXfs>
  <cellStyles count="2">
    <cellStyle name="Обычный" xfId="0" builtinId="0"/>
    <cellStyle name="Обычный 2" xfId="1" xr:uid="{00000000-0005-0000-0000-000001000000}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4" formatCode="0.0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4" formatCode="0.0"/>
      <fill>
        <patternFill patternType="none">
          <fgColor indexed="64"/>
          <bgColor auto="1"/>
        </patternFill>
      </fill>
      <border diagonalUp="0" diagonalDown="0" outline="0">
        <left style="thin">
          <color indexed="8"/>
        </left>
        <right style="thin">
          <color indexed="8"/>
        </right>
        <top style="thin">
          <color indexed="8"/>
        </top>
        <bottom style="thin">
          <color indexed="8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817654</xdr:colOff>
      <xdr:row>0</xdr:row>
      <xdr:rowOff>276225</xdr:rowOff>
    </xdr:to>
    <xdr:pic>
      <xdr:nvPicPr>
        <xdr:cNvPr id="2" name="Picture 1" descr="Picture">
          <a:extLst>
            <a:ext uri="{FF2B5EF4-FFF2-40B4-BE49-F238E27FC236}">
              <a16:creationId xmlns:a16="http://schemas.microsoft.com/office/drawing/2014/main" id="{CEB8DB51-7EDB-4733-9619-3A08A9B95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3017929" cy="276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3F6867E-2A09-47A7-A184-B8D7FA4B180E}" name="Таблица14567" displayName="Таблица14567" ref="A7:J37" totalsRowShown="0" headerRowDxfId="11" dataDxfId="10">
  <autoFilter ref="A7:J37" xr:uid="{00000000-0009-0000-0100-000004000000}"/>
  <tableColumns count="10">
    <tableColumn id="1" xr3:uid="{05D2FE30-7A0B-4D15-8550-CEB1894EE164}" name="Транспортное средство" dataDxfId="9"/>
    <tableColumn id="2" xr3:uid="{F762140E-BB2F-4A29-B3CA-21CA7CBC0142}" name="Время начала" dataDxfId="8"/>
    <tableColumn id="3" xr3:uid="{F4BC6607-CAC2-4011-B053-77F9AD89A89D}" name="Время окончания" dataDxfId="7"/>
    <tableColumn id="4" xr3:uid="{3D55418E-5A90-485E-A74B-9DA17533204A}" name="Событие" dataDxfId="6"/>
    <tableColumn id="5" xr3:uid="{D8B04994-4EF1-4578-8AD7-B83559902509}" name="Объём, л" dataDxfId="5"/>
    <tableColumn id="6" xr3:uid="{CDAC88C6-1D72-4CDB-832E-7351CF768BD7}" name="Заправочная ведомость, л" dataDxfId="4"/>
    <tableColumn id="7" xr3:uid="{026FBB3E-0492-4769-AA43-4EDD95B69CE1}" name="Погрешность, л" dataDxfId="3">
      <calculatedColumnFormula>F8-E8</calculatedColumnFormula>
    </tableColumn>
    <tableColumn id="8" xr3:uid="{CF971C28-5E9C-49FD-B3E6-BC11C5D19F8E}" name="Погрешность, %" dataDxfId="2">
      <calculatedColumnFormula>IF(AND(E8&gt;0,F8&gt;0),(F8/E8)-1,IF(AND(E8=0,F8&gt;0),1-(E8/F8),IF(AND(E8&gt;0,F8=0),(F8/E8)-1)))</calculatedColumnFormula>
    </tableColumn>
    <tableColumn id="9" xr3:uid="{6DBA35F5-5F44-474C-95C9-41E834947D69}" name="&quot;+&quot; &quot;-&quot;" dataDxfId="1"/>
    <tableColumn id="10" xr3:uid="{56C183A2-C81D-4BCA-A1AA-8FF488475096}" name="Комментарий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8AF57-7F31-400A-BF83-9D8B5AFCEEA5}">
  <sheetPr codeName="Лист7">
    <pageSetUpPr fitToPage="1"/>
  </sheetPr>
  <dimension ref="A1:J37"/>
  <sheetViews>
    <sheetView tabSelected="1" topLeftCell="A7" zoomScale="85" zoomScaleNormal="85" workbookViewId="0">
      <pane ySplit="1" topLeftCell="A8" activePane="bottomLeft" state="frozen"/>
      <selection activeCell="A7" sqref="A7"/>
      <selection pane="bottomLeft" activeCell="J14" sqref="J14"/>
    </sheetView>
  </sheetViews>
  <sheetFormatPr defaultRowHeight="15" x14ac:dyDescent="0.25"/>
  <cols>
    <col min="1" max="1" width="37.5703125" style="6" customWidth="1"/>
    <col min="2" max="2" width="18.140625" style="6" customWidth="1"/>
    <col min="3" max="3" width="19.85546875" style="6" customWidth="1"/>
    <col min="4" max="4" width="11.5703125" style="6" customWidth="1"/>
    <col min="5" max="5" width="8.85546875" style="6" customWidth="1"/>
    <col min="6" max="6" width="9.140625" style="6" customWidth="1"/>
    <col min="7" max="7" width="8.5703125" style="6" customWidth="1"/>
    <col min="8" max="8" width="12.42578125" style="7" customWidth="1"/>
    <col min="9" max="9" width="5.7109375" style="1" customWidth="1"/>
    <col min="10" max="10" width="34.28515625" style="6" customWidth="1"/>
    <col min="11" max="11" width="39.42578125" style="6" customWidth="1"/>
    <col min="12" max="13" width="32.5703125" style="6" customWidth="1"/>
    <col min="14" max="14" width="9.140625" style="6" customWidth="1"/>
    <col min="15" max="16384" width="9.140625" style="6"/>
  </cols>
  <sheetData>
    <row r="1" spans="1:10" ht="24" customHeight="1" x14ac:dyDescent="0.25">
      <c r="A1" s="18"/>
      <c r="B1" s="18"/>
      <c r="C1" s="18"/>
      <c r="D1" s="18"/>
      <c r="E1" s="18"/>
      <c r="F1" s="18"/>
      <c r="G1" s="18"/>
      <c r="H1" s="19"/>
      <c r="I1" s="19"/>
      <c r="J1" s="18"/>
    </row>
    <row r="2" spans="1:10" x14ac:dyDescent="0.25">
      <c r="A2" s="8" t="s">
        <v>5</v>
      </c>
      <c r="B2" s="20" t="s">
        <v>8</v>
      </c>
      <c r="C2" s="18"/>
      <c r="D2" s="18"/>
      <c r="E2" s="18"/>
      <c r="F2" s="18"/>
      <c r="G2" s="18"/>
      <c r="H2" s="19"/>
      <c r="I2" s="19"/>
      <c r="J2" s="18"/>
    </row>
    <row r="3" spans="1:10" ht="15" customHeight="1" x14ac:dyDescent="0.25">
      <c r="A3" s="8" t="s">
        <v>6</v>
      </c>
      <c r="B3" s="21" t="s">
        <v>15</v>
      </c>
      <c r="C3" s="18"/>
      <c r="D3" s="18"/>
      <c r="E3" s="18"/>
      <c r="F3" s="18"/>
      <c r="G3" s="18"/>
      <c r="H3" s="4"/>
      <c r="I3" s="3"/>
      <c r="J3" s="2"/>
    </row>
    <row r="4" spans="1:10" ht="15" customHeight="1" x14ac:dyDescent="0.25">
      <c r="A4" s="8" t="s">
        <v>7</v>
      </c>
      <c r="B4" s="22"/>
      <c r="C4" s="18"/>
      <c r="D4" s="18"/>
      <c r="E4" s="18"/>
      <c r="F4" s="18"/>
      <c r="G4" s="18"/>
      <c r="H4" s="4"/>
      <c r="I4" s="3"/>
      <c r="J4" s="2"/>
    </row>
    <row r="5" spans="1:10" x14ac:dyDescent="0.25">
      <c r="B5" s="18"/>
      <c r="C5" s="18"/>
      <c r="D5" s="18"/>
      <c r="E5" s="18"/>
      <c r="F5" s="18"/>
      <c r="G5" s="18"/>
      <c r="H5" s="19"/>
      <c r="I5" s="19"/>
      <c r="J5" s="18"/>
    </row>
    <row r="6" spans="1:10" ht="13.5" customHeight="1" x14ac:dyDescent="0.25">
      <c r="B6" s="18"/>
      <c r="C6" s="18"/>
      <c r="D6" s="18"/>
      <c r="E6" s="18"/>
      <c r="F6" s="18"/>
      <c r="G6" s="18"/>
      <c r="H6" s="19"/>
      <c r="I6" s="19"/>
      <c r="J6" s="18"/>
    </row>
    <row r="7" spans="1:10" ht="51" x14ac:dyDescent="0.25">
      <c r="A7" s="9" t="s">
        <v>0</v>
      </c>
      <c r="B7" s="9" t="s">
        <v>1</v>
      </c>
      <c r="C7" s="9" t="s">
        <v>2</v>
      </c>
      <c r="D7" s="9" t="s">
        <v>3</v>
      </c>
      <c r="E7" s="9" t="s">
        <v>4</v>
      </c>
      <c r="F7" s="9" t="s">
        <v>10</v>
      </c>
      <c r="G7" s="10" t="s">
        <v>11</v>
      </c>
      <c r="H7" s="11" t="s">
        <v>12</v>
      </c>
      <c r="I7" s="11" t="s">
        <v>13</v>
      </c>
      <c r="J7" s="12" t="s">
        <v>9</v>
      </c>
    </row>
    <row r="8" spans="1:10" s="5" customFormat="1" x14ac:dyDescent="0.25">
      <c r="A8" s="13" t="s">
        <v>16</v>
      </c>
      <c r="B8" s="13" t="s">
        <v>17</v>
      </c>
      <c r="C8" s="13" t="s">
        <v>18</v>
      </c>
      <c r="D8" s="13" t="s">
        <v>14</v>
      </c>
      <c r="E8" s="13">
        <v>0</v>
      </c>
      <c r="F8" s="14"/>
      <c r="G8" s="15">
        <f t="shared" ref="G8" si="0">F8-E8</f>
        <v>0</v>
      </c>
      <c r="H8" s="16" t="b">
        <f t="shared" ref="H8" si="1">IF(AND(E8&gt;0,F8&gt;0),(F8/E8)-1,IF(AND(E8=0,F8&gt;0),1-(E8/F8),IF(AND(E8&gt;0,F8=0),(F8/E8)-1)))</f>
        <v>0</v>
      </c>
      <c r="I8" s="17"/>
      <c r="J8" s="15"/>
    </row>
    <row r="9" spans="1:10" x14ac:dyDescent="0.25">
      <c r="A9" s="23" t="s">
        <v>19</v>
      </c>
      <c r="B9" s="23" t="s">
        <v>20</v>
      </c>
      <c r="C9" s="23" t="s">
        <v>21</v>
      </c>
      <c r="D9" s="23" t="s">
        <v>22</v>
      </c>
      <c r="E9" s="23">
        <v>158.30000000000001</v>
      </c>
      <c r="F9" s="24"/>
      <c r="G9" s="25">
        <f t="shared" ref="G9:G37" si="2">F9-E9</f>
        <v>-158.30000000000001</v>
      </c>
      <c r="H9" s="26">
        <f t="shared" ref="H9:H37" si="3">IF(AND(E9&gt;0,F9&gt;0),(F9/E9)-1,IF(AND(E9=0,F9&gt;0),1-(E9/F9),IF(AND(E9&gt;0,F9=0),(F9/E9)-1)))</f>
        <v>-1</v>
      </c>
      <c r="I9" s="27"/>
      <c r="J9" s="25"/>
    </row>
    <row r="10" spans="1:10" x14ac:dyDescent="0.25">
      <c r="A10" s="23" t="s">
        <v>23</v>
      </c>
      <c r="B10" s="23" t="s">
        <v>24</v>
      </c>
      <c r="C10" s="23" t="s">
        <v>25</v>
      </c>
      <c r="D10" s="23" t="s">
        <v>22</v>
      </c>
      <c r="E10" s="23">
        <v>121.3</v>
      </c>
      <c r="F10" s="24"/>
      <c r="G10" s="25">
        <f t="shared" si="2"/>
        <v>-121.3</v>
      </c>
      <c r="H10" s="26">
        <f t="shared" si="3"/>
        <v>-1</v>
      </c>
      <c r="I10" s="27"/>
      <c r="J10" s="25"/>
    </row>
    <row r="11" spans="1:10" x14ac:dyDescent="0.25">
      <c r="A11" s="23" t="s">
        <v>26</v>
      </c>
      <c r="B11" s="23" t="s">
        <v>27</v>
      </c>
      <c r="C11" s="23" t="s">
        <v>28</v>
      </c>
      <c r="D11" s="23" t="s">
        <v>22</v>
      </c>
      <c r="E11" s="23">
        <v>201.3</v>
      </c>
      <c r="F11" s="24"/>
      <c r="G11" s="25">
        <f t="shared" si="2"/>
        <v>-201.3</v>
      </c>
      <c r="H11" s="26">
        <f t="shared" si="3"/>
        <v>-1</v>
      </c>
      <c r="I11" s="27"/>
      <c r="J11" s="25"/>
    </row>
    <row r="12" spans="1:10" x14ac:dyDescent="0.25">
      <c r="A12" s="23" t="s">
        <v>29</v>
      </c>
      <c r="B12" s="23" t="s">
        <v>30</v>
      </c>
      <c r="C12" s="23" t="s">
        <v>31</v>
      </c>
      <c r="D12" s="23" t="s">
        <v>22</v>
      </c>
      <c r="E12" s="23">
        <v>52.4</v>
      </c>
      <c r="F12" s="24"/>
      <c r="G12" s="25">
        <f t="shared" si="2"/>
        <v>-52.4</v>
      </c>
      <c r="H12" s="26">
        <f t="shared" si="3"/>
        <v>-1</v>
      </c>
      <c r="I12" s="27"/>
      <c r="J12" s="25"/>
    </row>
    <row r="13" spans="1:10" x14ac:dyDescent="0.25">
      <c r="A13" s="23" t="s">
        <v>32</v>
      </c>
      <c r="B13" s="23" t="s">
        <v>33</v>
      </c>
      <c r="C13" s="23" t="s">
        <v>34</v>
      </c>
      <c r="D13" s="23" t="s">
        <v>22</v>
      </c>
      <c r="E13" s="23">
        <v>77.8</v>
      </c>
      <c r="F13" s="24"/>
      <c r="G13" s="25">
        <f t="shared" si="2"/>
        <v>-77.8</v>
      </c>
      <c r="H13" s="26">
        <f t="shared" si="3"/>
        <v>-1</v>
      </c>
      <c r="I13" s="27"/>
      <c r="J13" s="25"/>
    </row>
    <row r="14" spans="1:10" x14ac:dyDescent="0.25">
      <c r="A14" s="23" t="s">
        <v>35</v>
      </c>
      <c r="B14" s="23" t="s">
        <v>36</v>
      </c>
      <c r="C14" s="23" t="s">
        <v>37</v>
      </c>
      <c r="D14" s="23" t="s">
        <v>22</v>
      </c>
      <c r="E14" s="23">
        <v>64.3</v>
      </c>
      <c r="F14" s="24"/>
      <c r="G14" s="25">
        <f t="shared" si="2"/>
        <v>-64.3</v>
      </c>
      <c r="H14" s="26">
        <f t="shared" si="3"/>
        <v>-1</v>
      </c>
      <c r="I14" s="27"/>
      <c r="J14" s="25"/>
    </row>
    <row r="15" spans="1:10" x14ac:dyDescent="0.25">
      <c r="A15" s="23" t="s">
        <v>38</v>
      </c>
      <c r="B15" s="23" t="s">
        <v>39</v>
      </c>
      <c r="C15" s="23" t="s">
        <v>40</v>
      </c>
      <c r="D15" s="23" t="s">
        <v>22</v>
      </c>
      <c r="E15" s="23">
        <v>301.7</v>
      </c>
      <c r="F15" s="24"/>
      <c r="G15" s="25">
        <f t="shared" si="2"/>
        <v>-301.7</v>
      </c>
      <c r="H15" s="26">
        <f t="shared" si="3"/>
        <v>-1</v>
      </c>
      <c r="I15" s="27"/>
      <c r="J15" s="25"/>
    </row>
    <row r="16" spans="1:10" x14ac:dyDescent="0.25">
      <c r="A16" s="23" t="s">
        <v>41</v>
      </c>
      <c r="B16" s="23" t="s">
        <v>42</v>
      </c>
      <c r="C16" s="23" t="s">
        <v>43</v>
      </c>
      <c r="D16" s="23" t="s">
        <v>22</v>
      </c>
      <c r="E16" s="23">
        <v>23.5</v>
      </c>
      <c r="F16" s="24"/>
      <c r="G16" s="25">
        <f t="shared" si="2"/>
        <v>-23.5</v>
      </c>
      <c r="H16" s="26">
        <f t="shared" si="3"/>
        <v>-1</v>
      </c>
      <c r="I16" s="27"/>
      <c r="J16" s="25"/>
    </row>
    <row r="17" spans="1:10" x14ac:dyDescent="0.25">
      <c r="A17" s="23" t="s">
        <v>44</v>
      </c>
      <c r="B17" s="23" t="s">
        <v>45</v>
      </c>
      <c r="C17" s="23" t="s">
        <v>46</v>
      </c>
      <c r="D17" s="23" t="s">
        <v>22</v>
      </c>
      <c r="E17" s="23">
        <v>108.4</v>
      </c>
      <c r="F17" s="24"/>
      <c r="G17" s="25">
        <f t="shared" si="2"/>
        <v>-108.4</v>
      </c>
      <c r="H17" s="26">
        <f t="shared" si="3"/>
        <v>-1</v>
      </c>
      <c r="I17" s="27"/>
      <c r="J17" s="25"/>
    </row>
    <row r="18" spans="1:10" x14ac:dyDescent="0.25">
      <c r="A18" s="23" t="s">
        <v>47</v>
      </c>
      <c r="B18" s="23" t="s">
        <v>48</v>
      </c>
      <c r="C18" s="23" t="s">
        <v>49</v>
      </c>
      <c r="D18" s="23" t="s">
        <v>22</v>
      </c>
      <c r="E18" s="23">
        <v>72.7</v>
      </c>
      <c r="F18" s="24"/>
      <c r="G18" s="25">
        <f t="shared" si="2"/>
        <v>-72.7</v>
      </c>
      <c r="H18" s="26">
        <f t="shared" si="3"/>
        <v>-1</v>
      </c>
      <c r="I18" s="27"/>
      <c r="J18" s="25"/>
    </row>
    <row r="19" spans="1:10" x14ac:dyDescent="0.25">
      <c r="A19" s="23" t="s">
        <v>50</v>
      </c>
      <c r="B19" s="23" t="s">
        <v>51</v>
      </c>
      <c r="C19" s="23" t="s">
        <v>52</v>
      </c>
      <c r="D19" s="23" t="s">
        <v>22</v>
      </c>
      <c r="E19" s="23">
        <v>100.7</v>
      </c>
      <c r="F19" s="24"/>
      <c r="G19" s="25">
        <f t="shared" si="2"/>
        <v>-100.7</v>
      </c>
      <c r="H19" s="26">
        <f t="shared" si="3"/>
        <v>-1</v>
      </c>
      <c r="I19" s="27"/>
      <c r="J19" s="25"/>
    </row>
    <row r="20" spans="1:10" x14ac:dyDescent="0.25">
      <c r="A20" s="23" t="s">
        <v>53</v>
      </c>
      <c r="B20" s="23" t="s">
        <v>52</v>
      </c>
      <c r="C20" s="23" t="s">
        <v>54</v>
      </c>
      <c r="D20" s="23" t="s">
        <v>22</v>
      </c>
      <c r="E20" s="23">
        <v>149.80000000000001</v>
      </c>
      <c r="F20" s="24"/>
      <c r="G20" s="25">
        <f t="shared" si="2"/>
        <v>-149.80000000000001</v>
      </c>
      <c r="H20" s="26">
        <f t="shared" si="3"/>
        <v>-1</v>
      </c>
      <c r="I20" s="27"/>
      <c r="J20" s="25"/>
    </row>
    <row r="21" spans="1:10" x14ac:dyDescent="0.25">
      <c r="A21" s="23" t="s">
        <v>55</v>
      </c>
      <c r="B21" s="23" t="s">
        <v>56</v>
      </c>
      <c r="C21" s="23" t="s">
        <v>57</v>
      </c>
      <c r="D21" s="23" t="s">
        <v>22</v>
      </c>
      <c r="E21" s="23">
        <v>152.69999999999999</v>
      </c>
      <c r="F21" s="24"/>
      <c r="G21" s="25">
        <f t="shared" si="2"/>
        <v>-152.69999999999999</v>
      </c>
      <c r="H21" s="26">
        <f t="shared" si="3"/>
        <v>-1</v>
      </c>
      <c r="I21" s="27"/>
      <c r="J21" s="25"/>
    </row>
    <row r="22" spans="1:10" x14ac:dyDescent="0.25">
      <c r="A22" s="23" t="s">
        <v>58</v>
      </c>
      <c r="B22" s="23" t="s">
        <v>59</v>
      </c>
      <c r="C22" s="23" t="s">
        <v>60</v>
      </c>
      <c r="D22" s="23" t="s">
        <v>22</v>
      </c>
      <c r="E22" s="23">
        <v>85.1</v>
      </c>
      <c r="F22" s="24"/>
      <c r="G22" s="25">
        <f t="shared" si="2"/>
        <v>-85.1</v>
      </c>
      <c r="H22" s="26">
        <f t="shared" si="3"/>
        <v>-1</v>
      </c>
      <c r="I22" s="27"/>
      <c r="J22" s="25"/>
    </row>
    <row r="23" spans="1:10" x14ac:dyDescent="0.25">
      <c r="A23" s="23" t="s">
        <v>61</v>
      </c>
      <c r="B23" s="23" t="s">
        <v>62</v>
      </c>
      <c r="C23" s="23" t="s">
        <v>63</v>
      </c>
      <c r="D23" s="23" t="s">
        <v>22</v>
      </c>
      <c r="E23" s="23">
        <v>64.099999999999994</v>
      </c>
      <c r="F23" s="24"/>
      <c r="G23" s="25">
        <f t="shared" si="2"/>
        <v>-64.099999999999994</v>
      </c>
      <c r="H23" s="26">
        <f t="shared" si="3"/>
        <v>-1</v>
      </c>
      <c r="I23" s="27"/>
      <c r="J23" s="25"/>
    </row>
    <row r="24" spans="1:10" x14ac:dyDescent="0.25">
      <c r="A24" s="23" t="s">
        <v>64</v>
      </c>
      <c r="B24" s="23" t="s">
        <v>65</v>
      </c>
      <c r="C24" s="23" t="s">
        <v>66</v>
      </c>
      <c r="D24" s="23" t="s">
        <v>22</v>
      </c>
      <c r="E24" s="23">
        <v>96.7</v>
      </c>
      <c r="F24" s="24"/>
      <c r="G24" s="25">
        <f t="shared" si="2"/>
        <v>-96.7</v>
      </c>
      <c r="H24" s="26">
        <f t="shared" si="3"/>
        <v>-1</v>
      </c>
      <c r="I24" s="27"/>
      <c r="J24" s="25"/>
    </row>
    <row r="25" spans="1:10" x14ac:dyDescent="0.25">
      <c r="A25" s="23" t="s">
        <v>67</v>
      </c>
      <c r="B25" s="23" t="s">
        <v>68</v>
      </c>
      <c r="C25" s="23" t="s">
        <v>69</v>
      </c>
      <c r="D25" s="23" t="s">
        <v>22</v>
      </c>
      <c r="E25" s="23">
        <v>30.7</v>
      </c>
      <c r="F25" s="24"/>
      <c r="G25" s="25">
        <f t="shared" si="2"/>
        <v>-30.7</v>
      </c>
      <c r="H25" s="26">
        <f t="shared" si="3"/>
        <v>-1</v>
      </c>
      <c r="I25" s="27"/>
      <c r="J25" s="25"/>
    </row>
    <row r="26" spans="1:10" x14ac:dyDescent="0.25">
      <c r="A26" s="23" t="s">
        <v>70</v>
      </c>
      <c r="B26" s="23" t="s">
        <v>71</v>
      </c>
      <c r="C26" s="23" t="s">
        <v>72</v>
      </c>
      <c r="D26" s="23" t="s">
        <v>22</v>
      </c>
      <c r="E26" s="23">
        <v>69.2</v>
      </c>
      <c r="F26" s="24"/>
      <c r="G26" s="25">
        <f t="shared" si="2"/>
        <v>-69.2</v>
      </c>
      <c r="H26" s="26">
        <f t="shared" si="3"/>
        <v>-1</v>
      </c>
      <c r="I26" s="27"/>
      <c r="J26" s="25"/>
    </row>
    <row r="27" spans="1:10" x14ac:dyDescent="0.25">
      <c r="A27" s="23" t="s">
        <v>32</v>
      </c>
      <c r="B27" s="23" t="s">
        <v>73</v>
      </c>
      <c r="C27" s="23" t="s">
        <v>74</v>
      </c>
      <c r="D27" s="23" t="s">
        <v>22</v>
      </c>
      <c r="E27" s="23">
        <v>22.7</v>
      </c>
      <c r="F27" s="24"/>
      <c r="G27" s="25">
        <f t="shared" si="2"/>
        <v>-22.7</v>
      </c>
      <c r="H27" s="26">
        <f t="shared" si="3"/>
        <v>-1</v>
      </c>
      <c r="I27" s="27"/>
      <c r="J27" s="25"/>
    </row>
    <row r="28" spans="1:10" x14ac:dyDescent="0.25">
      <c r="A28" s="23" t="s">
        <v>75</v>
      </c>
      <c r="B28" s="23" t="s">
        <v>76</v>
      </c>
      <c r="C28" s="23" t="s">
        <v>77</v>
      </c>
      <c r="D28" s="23" t="s">
        <v>78</v>
      </c>
      <c r="E28" s="23">
        <v>6260.5</v>
      </c>
      <c r="F28" s="24"/>
      <c r="G28" s="25">
        <f t="shared" si="2"/>
        <v>-6260.5</v>
      </c>
      <c r="H28" s="26">
        <f t="shared" si="3"/>
        <v>-1</v>
      </c>
      <c r="I28" s="27"/>
      <c r="J28" s="25"/>
    </row>
    <row r="29" spans="1:10" x14ac:dyDescent="0.25">
      <c r="A29" s="23" t="s">
        <v>79</v>
      </c>
      <c r="B29" s="23" t="s">
        <v>80</v>
      </c>
      <c r="C29" s="23" t="s">
        <v>81</v>
      </c>
      <c r="D29" s="23" t="s">
        <v>22</v>
      </c>
      <c r="E29" s="23">
        <v>123.5</v>
      </c>
      <c r="F29" s="24"/>
      <c r="G29" s="25">
        <f t="shared" si="2"/>
        <v>-123.5</v>
      </c>
      <c r="H29" s="26">
        <f t="shared" si="3"/>
        <v>-1</v>
      </c>
      <c r="I29" s="27"/>
      <c r="J29" s="25"/>
    </row>
    <row r="30" spans="1:10" x14ac:dyDescent="0.25">
      <c r="A30" s="23" t="s">
        <v>41</v>
      </c>
      <c r="B30" s="23" t="s">
        <v>82</v>
      </c>
      <c r="C30" s="23" t="s">
        <v>83</v>
      </c>
      <c r="D30" s="23" t="s">
        <v>22</v>
      </c>
      <c r="E30" s="23">
        <v>36.9</v>
      </c>
      <c r="F30" s="24"/>
      <c r="G30" s="25">
        <f t="shared" si="2"/>
        <v>-36.9</v>
      </c>
      <c r="H30" s="26">
        <f t="shared" si="3"/>
        <v>-1</v>
      </c>
      <c r="I30" s="27"/>
      <c r="J30" s="25"/>
    </row>
    <row r="31" spans="1:10" x14ac:dyDescent="0.25">
      <c r="A31" s="23" t="s">
        <v>35</v>
      </c>
      <c r="B31" s="23" t="s">
        <v>84</v>
      </c>
      <c r="C31" s="23" t="s">
        <v>85</v>
      </c>
      <c r="D31" s="23" t="s">
        <v>22</v>
      </c>
      <c r="E31" s="23">
        <v>34.6</v>
      </c>
      <c r="F31" s="24"/>
      <c r="G31" s="25">
        <f t="shared" si="2"/>
        <v>-34.6</v>
      </c>
      <c r="H31" s="26">
        <f t="shared" si="3"/>
        <v>-1</v>
      </c>
      <c r="I31" s="27"/>
      <c r="J31" s="25"/>
    </row>
    <row r="32" spans="1:10" x14ac:dyDescent="0.25">
      <c r="A32" s="23" t="s">
        <v>35</v>
      </c>
      <c r="B32" s="23" t="s">
        <v>86</v>
      </c>
      <c r="C32" s="23" t="s">
        <v>87</v>
      </c>
      <c r="D32" s="23" t="s">
        <v>14</v>
      </c>
      <c r="E32" s="23">
        <v>19.3</v>
      </c>
      <c r="F32" s="24"/>
      <c r="G32" s="25">
        <f t="shared" si="2"/>
        <v>-19.3</v>
      </c>
      <c r="H32" s="26">
        <f t="shared" si="3"/>
        <v>-1</v>
      </c>
      <c r="I32" s="27"/>
      <c r="J32" s="25"/>
    </row>
    <row r="33" spans="1:10" x14ac:dyDescent="0.25">
      <c r="A33" s="23" t="s">
        <v>88</v>
      </c>
      <c r="B33" s="23" t="s">
        <v>89</v>
      </c>
      <c r="C33" s="23" t="s">
        <v>90</v>
      </c>
      <c r="D33" s="23" t="s">
        <v>22</v>
      </c>
      <c r="E33" s="23">
        <v>37.5</v>
      </c>
      <c r="F33" s="24"/>
      <c r="G33" s="25">
        <f t="shared" si="2"/>
        <v>-37.5</v>
      </c>
      <c r="H33" s="26">
        <f t="shared" si="3"/>
        <v>-1</v>
      </c>
      <c r="I33" s="27"/>
      <c r="J33" s="25"/>
    </row>
    <row r="34" spans="1:10" x14ac:dyDescent="0.25">
      <c r="A34" s="23" t="s">
        <v>67</v>
      </c>
      <c r="B34" s="23" t="s">
        <v>91</v>
      </c>
      <c r="C34" s="23" t="s">
        <v>92</v>
      </c>
      <c r="D34" s="23" t="s">
        <v>22</v>
      </c>
      <c r="E34" s="23">
        <v>28.7</v>
      </c>
      <c r="F34" s="24"/>
      <c r="G34" s="25">
        <f t="shared" si="2"/>
        <v>-28.7</v>
      </c>
      <c r="H34" s="26">
        <f t="shared" si="3"/>
        <v>-1</v>
      </c>
      <c r="I34" s="27"/>
      <c r="J34" s="25"/>
    </row>
    <row r="35" spans="1:10" x14ac:dyDescent="0.25">
      <c r="A35" s="23" t="s">
        <v>93</v>
      </c>
      <c r="B35" s="23" t="s">
        <v>94</v>
      </c>
      <c r="C35" s="23" t="s">
        <v>95</v>
      </c>
      <c r="D35" s="23" t="s">
        <v>22</v>
      </c>
      <c r="E35" s="23">
        <v>27</v>
      </c>
      <c r="F35" s="24"/>
      <c r="G35" s="25">
        <f t="shared" si="2"/>
        <v>-27</v>
      </c>
      <c r="H35" s="26">
        <f t="shared" si="3"/>
        <v>-1</v>
      </c>
      <c r="I35" s="27"/>
      <c r="J35" s="25"/>
    </row>
    <row r="36" spans="1:10" x14ac:dyDescent="0.25">
      <c r="A36" s="23" t="s">
        <v>96</v>
      </c>
      <c r="B36" s="23" t="s">
        <v>97</v>
      </c>
      <c r="C36" s="23" t="s">
        <v>98</v>
      </c>
      <c r="D36" s="23" t="s">
        <v>22</v>
      </c>
      <c r="E36" s="23">
        <v>31.7</v>
      </c>
      <c r="F36" s="24"/>
      <c r="G36" s="25">
        <f t="shared" si="2"/>
        <v>-31.7</v>
      </c>
      <c r="H36" s="26">
        <f t="shared" si="3"/>
        <v>-1</v>
      </c>
      <c r="I36" s="27"/>
      <c r="J36" s="25"/>
    </row>
    <row r="37" spans="1:10" x14ac:dyDescent="0.25">
      <c r="A37" s="28" t="s">
        <v>75</v>
      </c>
      <c r="B37" s="28" t="s">
        <v>99</v>
      </c>
      <c r="C37" s="28" t="s">
        <v>100</v>
      </c>
      <c r="D37" s="28" t="s">
        <v>22</v>
      </c>
      <c r="E37" s="28">
        <v>90.3</v>
      </c>
      <c r="F37" s="29"/>
      <c r="G37" s="30">
        <f t="shared" si="2"/>
        <v>-90.3</v>
      </c>
      <c r="H37" s="31">
        <f t="shared" si="3"/>
        <v>-1</v>
      </c>
      <c r="I37" s="32"/>
      <c r="J37" s="30"/>
    </row>
  </sheetData>
  <dataConsolidate/>
  <mergeCells count="6">
    <mergeCell ref="B6:J6"/>
    <mergeCell ref="A1:J1"/>
    <mergeCell ref="B2:J2"/>
    <mergeCell ref="B3:G3"/>
    <mergeCell ref="B4:G4"/>
    <mergeCell ref="B5:J5"/>
  </mergeCells>
  <printOptions horizontalCentered="1"/>
  <pageMargins left="0" right="0" top="0" bottom="0" header="0" footer="0"/>
  <pageSetup paperSize="9" scale="89" fitToHeight="8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Сентябрь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Dmitrii Prokofyev</cp:lastModifiedBy>
  <cp:lastPrinted>2020-09-23T05:07:20Z</cp:lastPrinted>
  <dcterms:created xsi:type="dcterms:W3CDTF">2017-01-26T10:07:28Z</dcterms:created>
  <dcterms:modified xsi:type="dcterms:W3CDTF">2021-03-08T15:12:42Z</dcterms:modified>
</cp:coreProperties>
</file>