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ii\Desktop\Работа\ОТЧЕТЫ\Уч 10-8\"/>
    </mc:Choice>
  </mc:AlternateContent>
  <xr:revisionPtr revIDLastSave="0" documentId="13_ncr:1_{96C55887-B371-4D11-82A7-52E63E23A109}" xr6:coauthVersionLast="46" xr6:coauthVersionMax="46" xr10:uidLastSave="{00000000-0000-0000-0000-000000000000}"/>
  <bookViews>
    <workbookView xWindow="-120" yWindow="-120" windowWidth="20730" windowHeight="11160" tabRatio="750" xr2:uid="{00000000-000D-0000-FFFF-FFFF00000000}"/>
  </bookViews>
  <sheets>
    <sheet name="01.01 - 03.01" sheetId="4" r:id="rId1"/>
  </sheets>
  <definedNames>
    <definedName name="_FilterDatabase" localSheetId="0" hidden="1">'01.01 - 03.01'!$A$9:$R$10</definedName>
    <definedName name="dhreghrjh" localSheetId="0" hidden="1">'01.01 - 03.01'!$A$9:$R$9</definedName>
    <definedName name="fg" localSheetId="0" hidden="1">'01.01 - 03.01'!$A$9:$R$9</definedName>
    <definedName name="khg" localSheetId="0" hidden="1">'01.01 - 03.01'!$A$9:$R$9</definedName>
    <definedName name="sfdsd" localSheetId="0" hidden="1">'01.01 - 03.01'!$A$9:$R$9</definedName>
  </definedNames>
  <calcPr calcId="181029"/>
</workbook>
</file>

<file path=xl/calcChain.xml><?xml version="1.0" encoding="utf-8"?>
<calcChain xmlns="http://schemas.openxmlformats.org/spreadsheetml/2006/main">
  <c r="O10" i="4" l="1"/>
  <c r="P10" i="4" s="1"/>
  <c r="Q10" i="4" l="1"/>
  <c r="H9" i="4" l="1"/>
  <c r="I9" i="4" s="1"/>
  <c r="J9" i="4" s="1"/>
  <c r="K9" i="4" s="1"/>
  <c r="L9" i="4" s="1"/>
  <c r="M9" i="4" s="1"/>
  <c r="N9" i="4" s="1"/>
  <c r="O9" i="4" s="1"/>
  <c r="P9" i="4" s="1"/>
  <c r="Q9" i="4" s="1"/>
  <c r="R9" i="4" s="1"/>
  <c r="B9" i="4"/>
  <c r="C9" i="4" s="1"/>
  <c r="D9" i="4" s="1"/>
</calcChain>
</file>

<file path=xl/sharedStrings.xml><?xml version="1.0" encoding="utf-8"?>
<sst xmlns="http://schemas.openxmlformats.org/spreadsheetml/2006/main" count="30" uniqueCount="30">
  <si>
    <t>Отчет:</t>
  </si>
  <si>
    <t>Выдачи, заливы и сливы топлива</t>
  </si>
  <si>
    <t>Период:</t>
  </si>
  <si>
    <t>Топливозаправщик:</t>
  </si>
  <si>
    <t>Урал АТЗ к223ем 163(216001645), Урал АТЗ у950см 63(216003248)</t>
  </si>
  <si>
    <t>Фактически получено</t>
  </si>
  <si>
    <t>Фактически выдано в другой транспорт</t>
  </si>
  <si>
    <t>Разница м/д УСС и запр.ведомостью</t>
  </si>
  <si>
    <t>Транспортное средство</t>
  </si>
  <si>
    <t>Операция</t>
  </si>
  <si>
    <t>Начало</t>
  </si>
  <si>
    <t>Окончание</t>
  </si>
  <si>
    <t>Нач. объём ДУТ, л</t>
  </si>
  <si>
    <t>Кон. Объём ДУТ, л</t>
  </si>
  <si>
    <t>Залив ДУТ, л</t>
  </si>
  <si>
    <t>Выдача УСС, л</t>
  </si>
  <si>
    <t>Слив ДУТ, л</t>
  </si>
  <si>
    <t>требование накладная / заправочная ведомость, л</t>
  </si>
  <si>
    <t xml:space="preserve">Заправочная ведомость             ООО "НОВА", л (Автотранспорт)               </t>
  </si>
  <si>
    <t>Заправочная ведомость           ООО "НОВА", л (Строительная техника)</t>
  </si>
  <si>
    <t>Заправочная ведомость подрядчика, л</t>
  </si>
  <si>
    <t>Слив в накопительную ёмкость,л</t>
  </si>
  <si>
    <t>ИТОГО по ведомости выдано, л</t>
  </si>
  <si>
    <t>Погрешность (15 - 8), л</t>
  </si>
  <si>
    <t>Погрешность (15 - 8), %</t>
  </si>
  <si>
    <t>Коментарий</t>
  </si>
  <si>
    <t>Выдача</t>
  </si>
  <si>
    <t>-</t>
  </si>
  <si>
    <t>Камаз АТЗ [в 137 ре 763]</t>
  </si>
  <si>
    <t>01.01.2021 00:00:00 - 03.01.2021 23:59:00 (UTC +03:00)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</si>
</sst>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\ hh:mm:ss"/>
    <numFmt numFmtId="165" formatCode="0.0"/>
  </numFmts>
  <fonts count="8" x14ac:knownFonts="1"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"/>
      <family val="2"/>
      <charset val="204"/>
    </font>
    <font>
      <b/>
      <sz val="11"/>
      <color indexed="8"/>
      <name val="Calibri"/>
      <family val="2"/>
      <charset val="204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BF4FD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/>
  </cellStyleXfs>
  <cellXfs count="40">
    <xf numFmtId="0" fontId="0" fillId="0" borderId="0" xfId="0"/>
    <xf numFmtId="2" fontId="0" fillId="0" borderId="0" xfId="0" applyNumberFormat="1" applyAlignment="1">
      <alignment horizontal="right"/>
    </xf>
    <xf numFmtId="0" fontId="0" fillId="0" borderId="0" xfId="0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0" fillId="0" borderId="0" xfId="0" applyAlignment="1"/>
    <xf numFmtId="0" fontId="0" fillId="0" borderId="0" xfId="0" applyFill="1" applyAlignment="1"/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2" fontId="4" fillId="3" borderId="2" xfId="0" applyNumberFormat="1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65" fontId="6" fillId="5" borderId="2" xfId="0" applyNumberFormat="1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left" vertical="center"/>
    </xf>
    <xf numFmtId="164" fontId="6" fillId="4" borderId="8" xfId="0" applyNumberFormat="1" applyFont="1" applyFill="1" applyBorder="1" applyAlignment="1">
      <alignment horizontal="center" vertical="center"/>
    </xf>
    <xf numFmtId="165" fontId="6" fillId="4" borderId="8" xfId="0" applyNumberFormat="1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right" vertical="center"/>
    </xf>
    <xf numFmtId="2" fontId="6" fillId="4" borderId="8" xfId="0" applyNumberFormat="1" applyFont="1" applyFill="1" applyBorder="1" applyAlignment="1">
      <alignment horizontal="right" vertical="center"/>
    </xf>
    <xf numFmtId="165" fontId="7" fillId="5" borderId="2" xfId="0" applyNumberFormat="1" applyFont="1" applyFill="1" applyBorder="1"/>
    <xf numFmtId="2" fontId="7" fillId="5" borderId="2" xfId="0" applyNumberFormat="1" applyFont="1" applyFill="1" applyBorder="1" applyAlignment="1">
      <alignment horizontal="right"/>
    </xf>
    <xf numFmtId="10" fontId="7" fillId="5" borderId="2" xfId="0" applyNumberFormat="1" applyFont="1" applyFill="1" applyBorder="1" applyAlignment="1">
      <alignment horizontal="right"/>
    </xf>
    <xf numFmtId="0" fontId="7" fillId="5" borderId="2" xfId="0" applyFont="1" applyFill="1" applyBorder="1"/>
    <xf numFmtId="0" fontId="4" fillId="3" borderId="3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0" borderId="0" xfId="0"/>
    <xf numFmtId="0" fontId="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3" borderId="4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602584</xdr:colOff>
      <xdr:row>1</xdr:row>
      <xdr:rowOff>76200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5709" cy="523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Right="0"/>
  </sheetPr>
  <dimension ref="A1:R10"/>
  <sheetViews>
    <sheetView tabSelected="1" zoomScale="55" zoomScaleNormal="55" workbookViewId="0">
      <selection activeCell="H16" sqref="H16"/>
    </sheetView>
  </sheetViews>
  <sheetFormatPr defaultRowHeight="15" outlineLevelCol="1" x14ac:dyDescent="0.25"/>
  <cols>
    <col min="1" max="1" width="32.140625" bestFit="1" customWidth="1"/>
    <col min="2" max="2" width="15" bestFit="1" customWidth="1"/>
    <col min="3" max="4" width="19.28515625" bestFit="1" customWidth="1"/>
    <col min="5" max="6" width="7.5703125" customWidth="1" outlineLevel="1"/>
    <col min="7" max="8" width="10.42578125" customWidth="1"/>
    <col min="9" max="9" width="11.42578125" bestFit="1" customWidth="1"/>
    <col min="10" max="10" width="14.28515625" customWidth="1"/>
    <col min="11" max="11" width="16.42578125" customWidth="1"/>
    <col min="12" max="12" width="16" style="1" customWidth="1"/>
    <col min="13" max="13" width="16.28515625" style="2" customWidth="1"/>
    <col min="14" max="14" width="13.140625" customWidth="1"/>
    <col min="15" max="15" width="17.140625" bestFit="1" customWidth="1"/>
    <col min="16" max="17" width="13.5703125" customWidth="1"/>
    <col min="18" max="18" width="43.85546875" customWidth="1"/>
  </cols>
  <sheetData>
    <row r="1" spans="1:18" ht="35.25" customHeight="1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8" ht="15" customHeight="1" x14ac:dyDescent="0.25">
      <c r="A2" s="3" t="s">
        <v>0</v>
      </c>
      <c r="B2" s="37" t="s">
        <v>1</v>
      </c>
      <c r="C2" s="36"/>
      <c r="D2" s="36"/>
      <c r="E2" s="36"/>
      <c r="F2" s="36"/>
      <c r="G2" s="36"/>
      <c r="H2" s="36"/>
      <c r="I2" s="36"/>
      <c r="K2" s="4"/>
      <c r="L2" s="4"/>
      <c r="M2" s="4"/>
      <c r="N2" s="4"/>
    </row>
    <row r="3" spans="1:18" x14ac:dyDescent="0.25">
      <c r="A3" s="3" t="s">
        <v>2</v>
      </c>
      <c r="B3" s="38" t="s">
        <v>29</v>
      </c>
      <c r="C3" s="36"/>
      <c r="D3" s="36"/>
      <c r="E3" s="36"/>
      <c r="F3" s="36"/>
      <c r="G3" s="36"/>
      <c r="H3" s="36"/>
      <c r="I3" s="36"/>
      <c r="K3" s="5"/>
      <c r="L3" s="5"/>
      <c r="M3" s="5"/>
      <c r="N3" s="5"/>
    </row>
    <row r="4" spans="1:18" ht="15" customHeight="1" x14ac:dyDescent="0.25">
      <c r="A4" s="3" t="s">
        <v>3</v>
      </c>
      <c r="B4" s="38" t="s">
        <v>4</v>
      </c>
      <c r="C4" s="36"/>
      <c r="D4" s="36"/>
      <c r="E4" s="36"/>
      <c r="F4" s="36"/>
      <c r="G4" s="36"/>
      <c r="H4" s="36"/>
      <c r="I4" s="36"/>
      <c r="J4" s="6"/>
      <c r="K4" s="6"/>
      <c r="L4" s="6"/>
      <c r="M4" s="6"/>
      <c r="N4" s="6"/>
    </row>
    <row r="5" spans="1:18" x14ac:dyDescent="0.25">
      <c r="A5" s="3"/>
      <c r="B5" s="7"/>
    </row>
    <row r="6" spans="1:18" x14ac:dyDescent="0.25">
      <c r="A6" s="8"/>
      <c r="B6" s="9"/>
      <c r="C6" s="10"/>
      <c r="D6" s="10"/>
      <c r="E6" s="10"/>
      <c r="F6" s="10"/>
      <c r="G6" s="10"/>
      <c r="H6" s="10"/>
      <c r="I6" s="10"/>
      <c r="J6" s="10"/>
      <c r="K6" s="10"/>
      <c r="L6" s="11"/>
      <c r="M6" s="12"/>
      <c r="N6" s="10"/>
      <c r="O6" s="10"/>
      <c r="P6" s="10"/>
      <c r="Q6" s="10"/>
      <c r="R6" s="10"/>
    </row>
    <row r="7" spans="1:18" ht="27.75" customHeight="1" x14ac:dyDescent="0.25">
      <c r="A7" s="13"/>
      <c r="B7" s="13"/>
      <c r="C7" s="13"/>
      <c r="D7" s="13"/>
      <c r="E7" s="13"/>
      <c r="F7" s="14"/>
      <c r="G7" s="13"/>
      <c r="H7" s="13"/>
      <c r="I7" s="13"/>
      <c r="J7" s="15" t="s">
        <v>5</v>
      </c>
      <c r="K7" s="34" t="s">
        <v>6</v>
      </c>
      <c r="L7" s="39"/>
      <c r="M7" s="39"/>
      <c r="N7" s="39"/>
      <c r="O7" s="35"/>
      <c r="P7" s="34" t="s">
        <v>7</v>
      </c>
      <c r="Q7" s="35"/>
      <c r="R7" s="16"/>
    </row>
    <row r="8" spans="1:18" s="10" customFormat="1" ht="75" customHeight="1" x14ac:dyDescent="0.25">
      <c r="A8" s="17" t="s">
        <v>8</v>
      </c>
      <c r="B8" s="17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8" t="s">
        <v>18</v>
      </c>
      <c r="L8" s="18" t="s">
        <v>19</v>
      </c>
      <c r="M8" s="18" t="s">
        <v>20</v>
      </c>
      <c r="N8" s="18" t="s">
        <v>21</v>
      </c>
      <c r="O8" s="18" t="s">
        <v>22</v>
      </c>
      <c r="P8" s="19" t="s">
        <v>23</v>
      </c>
      <c r="Q8" s="20" t="s">
        <v>24</v>
      </c>
      <c r="R8" s="21" t="s">
        <v>25</v>
      </c>
    </row>
    <row r="9" spans="1:18" s="23" customFormat="1" x14ac:dyDescent="0.25">
      <c r="A9" s="22">
        <v>1</v>
      </c>
      <c r="B9" s="22">
        <f t="shared" ref="B9:R9" si="0">A9+1</f>
        <v>2</v>
      </c>
      <c r="C9" s="22">
        <f t="shared" si="0"/>
        <v>3</v>
      </c>
      <c r="D9" s="22">
        <f t="shared" si="0"/>
        <v>4</v>
      </c>
      <c r="E9" s="22">
        <v>5</v>
      </c>
      <c r="F9" s="22">
        <v>5</v>
      </c>
      <c r="G9" s="22">
        <v>7</v>
      </c>
      <c r="H9" s="22">
        <f t="shared" si="0"/>
        <v>8</v>
      </c>
      <c r="I9" s="22">
        <f t="shared" si="0"/>
        <v>9</v>
      </c>
      <c r="J9" s="22">
        <f t="shared" si="0"/>
        <v>10</v>
      </c>
      <c r="K9" s="22">
        <f t="shared" si="0"/>
        <v>11</v>
      </c>
      <c r="L9" s="22">
        <f t="shared" si="0"/>
        <v>12</v>
      </c>
      <c r="M9" s="22">
        <f t="shared" si="0"/>
        <v>13</v>
      </c>
      <c r="N9" s="22">
        <f t="shared" si="0"/>
        <v>14</v>
      </c>
      <c r="O9" s="22">
        <f t="shared" si="0"/>
        <v>15</v>
      </c>
      <c r="P9" s="22">
        <f t="shared" si="0"/>
        <v>16</v>
      </c>
      <c r="Q9" s="22">
        <f t="shared" si="0"/>
        <v>17</v>
      </c>
      <c r="R9" s="22">
        <f t="shared" si="0"/>
        <v>18</v>
      </c>
    </row>
    <row r="10" spans="1:18" x14ac:dyDescent="0.25">
      <c r="A10" s="25" t="s">
        <v>28</v>
      </c>
      <c r="B10" s="25" t="s">
        <v>26</v>
      </c>
      <c r="C10" s="26">
        <v>44197.174375000002</v>
      </c>
      <c r="D10" s="26">
        <v>44197.176805555559</v>
      </c>
      <c r="E10" s="27">
        <v>9063.2000000000007</v>
      </c>
      <c r="F10" s="28" t="s">
        <v>27</v>
      </c>
      <c r="G10" s="27">
        <v>0</v>
      </c>
      <c r="H10" s="29">
        <v>214.03</v>
      </c>
      <c r="I10" s="27">
        <v>0</v>
      </c>
      <c r="J10" s="24">
        <v>0</v>
      </c>
      <c r="K10" s="24">
        <v>0</v>
      </c>
      <c r="L10" s="30">
        <v>217</v>
      </c>
      <c r="M10" s="30">
        <v>0</v>
      </c>
      <c r="N10" s="30">
        <v>0</v>
      </c>
      <c r="O10" s="30">
        <f t="shared" ref="O10" si="1">IF(AND(K10="",L10="",M10="",N10=""),"",SUM(K10:N10))</f>
        <v>217</v>
      </c>
      <c r="P10" s="31">
        <f t="shared" ref="P10" si="2">IF(O10=0,"-",O10-H10)</f>
        <v>2.9699999999999989</v>
      </c>
      <c r="Q10" s="32">
        <f t="shared" ref="Q10" si="3">IF(O10=0,"-",1-O10/H10)</f>
        <v>-1.3876559360837204E-2</v>
      </c>
      <c r="R10" s="33"/>
    </row>
  </sheetData>
  <autoFilter ref="A9:R10" xr:uid="{00000000-0009-0000-0000-000000000000}"/>
  <mergeCells count="6">
    <mergeCell ref="P7:Q7"/>
    <mergeCell ref="A1:I1"/>
    <mergeCell ref="B2:I2"/>
    <mergeCell ref="B3:I3"/>
    <mergeCell ref="B4:I4"/>
    <mergeCell ref="K7:O7"/>
  </mergeCells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01.01 - 03.01</vt:lpstr>
    </vt:vector>
  </TitlesOfParts>
  <Company>Krokoz™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Dmitrii Prokofyev</dc:creator>
  <cp:lastModifiedBy>Dmitrii Prokofyev</cp:lastModifiedBy>
  <dcterms:created xsi:type="dcterms:W3CDTF">2020-02-03T07:29:20Z</dcterms:created>
  <dcterms:modified xsi:type="dcterms:W3CDTF">2021-03-08T15:15:01Z</dcterms:modified>
</cp:coreProperties>
</file>